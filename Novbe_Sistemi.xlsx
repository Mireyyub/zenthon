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YLIQ QRAFİK" sheetId="2" state="visible" r:id="rId2"/>
    <sheet name="ŞƏXSLƏR" sheetId="3" state="visible" r:id="rId3"/>
    <sheet name="YOXDUR-MƏZUNİYYƏT" sheetId="4" state="visible" r:id="rId4"/>
    <sheet name="BALANS" sheetId="5" state="visible" r:id="rId5"/>
    <sheet name="PARAMETRLƏR" sheetId="6" state="visible" r:id="rId6"/>
    <sheet name="DƏYİŞİKLİK JURNALI" sheetId="7" state="visible" r:id="rId7"/>
  </sheets>
  <definedNames>
    <definedName name="_xlnm._FilterDatabase" localSheetId="1" hidden="1">'AYLIQ QRAFİK'!$A$7:$J$37</definedName>
    <definedName name="_xlnm._FilterDatabase" localSheetId="2" hidden="1">'ŞƏXSLƏR'!$A$4:$N$12</definedName>
    <definedName name="_xlnm._FilterDatabase" localSheetId="3" hidden="1">'YOXDUR-MƏZUNİYYƏT'!$A$4:$F$7</definedName>
    <definedName name="_xlnm._FilterDatabase" localSheetId="4" hidden="1">'BALANS'!$A$4:$O$12</definedName>
    <definedName name="_xlnm._FilterDatabase" localSheetId="6" hidden="1">'DƏYİŞİKLİK JURNALI'!$A$4:$H$24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dd.mm.yyyy"/>
    <numFmt numFmtId="166" formatCode="yyyy-mm-dd"/>
    <numFmt numFmtId="167" formatCode="hh:mm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0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sz val="18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E6F3FF"/>
        <bgColor rgb="00E6F3FF"/>
      </patternFill>
    </fill>
    <fill>
      <patternFill patternType="solid">
        <fgColor rgb="00F0F0F0"/>
        <bgColor rgb="00F0F0F0"/>
      </patternFill>
    </fill>
    <fill>
      <patternFill patternType="solid">
        <fgColor rgb="00FFF0E6"/>
        <bgColor rgb="00FFF0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" fontId="5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3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5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0" fillId="0" borderId="0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center" vertical="center" wrapText="1"/>
      <protection locked="0" hidden="0"/>
    </xf>
    <xf numFmtId="1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" fontId="0" fillId="0" borderId="1" applyAlignment="1" applyProtection="1" pivotButton="0" quotePrefix="0" xfId="0">
      <alignment horizontal="left" vertical="center" wrapText="1"/>
      <protection locked="0" hidden="0"/>
    </xf>
    <xf numFmtId="0" fontId="2" fillId="4" borderId="1" applyAlignment="1" pivotButton="0" quotePrefix="0" xfId="0">
      <alignment horizontal="left" vertical="center" wrapText="1"/>
    </xf>
    <xf numFmtId="164" fontId="0" fillId="0" borderId="1" applyAlignment="1" applyProtection="1" pivotButton="0" quotePrefix="0" xfId="0">
      <alignment horizontal="left" vertical="center" wrapText="1"/>
      <protection locked="0" hidden="0"/>
    </xf>
    <xf numFmtId="165" fontId="0" fillId="0" borderId="1" applyAlignment="1" applyProtection="1" pivotButton="0" quotePrefix="0" xfId="0">
      <alignment horizontal="center" vertical="center" wrapText="1"/>
      <protection locked="0" hidden="0"/>
    </xf>
    <xf numFmtId="167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NÖVBƏÇİLİK SİSTEMİ DASHBOARD</t>
        </is>
      </c>
      <c r="B1" s="2" t="n"/>
      <c r="C1" s="2" t="n"/>
      <c r="D1" s="2" t="n"/>
    </row>
    <row r="2">
      <c r="A2" s="3" t="inlineStr">
        <is>
          <t>Bu vərəqdə sistemin ümumi vəziyyəti, balans və risklər göstərilir.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ÜMUMİ VƏZİYYƏT</t>
        </is>
      </c>
      <c r="B4" s="2" t="n"/>
      <c r="C4" s="2" t="n"/>
      <c r="D4" s="2" t="n"/>
    </row>
    <row r="5">
      <c r="A5" s="5" t="inlineStr">
        <is>
          <t>Cari ay</t>
        </is>
      </c>
      <c r="B5" s="6">
        <f>'AYLIQ QRAFİK'!$E$4</f>
        <v/>
      </c>
      <c r="C5" s="2" t="n"/>
      <c r="D5" s="2" t="n"/>
    </row>
    <row r="6">
      <c r="A6" s="5" t="inlineStr">
        <is>
          <t>Cari il</t>
        </is>
      </c>
      <c r="B6" s="7">
        <f>'AYLIQ QRAFİK'!$B$4</f>
        <v/>
      </c>
      <c r="C6" s="2" t="n"/>
      <c r="D6" s="2" t="n"/>
    </row>
    <row r="7">
      <c r="A7" s="5" t="inlineStr">
        <is>
          <t>Ayın gün sayı</t>
        </is>
      </c>
      <c r="B7" s="7">
        <f>DAY(EOMONTH(DATE('AYLIQ QRAFİK'!$B$4, MATCH('AYLIQ QRAFİK'!$E$4, {"Yanvar","Fevral","Mart","Aprel","May","İyun","İyul","Avqust","Sentyabr","Oktyabr","Noyabr","Dekabr"}, 0)), 0))</f>
        <v/>
      </c>
      <c r="C7" s="2" t="n"/>
      <c r="D7" s="2" t="n"/>
    </row>
    <row r="8">
      <c r="A8" s="5" t="inlineStr">
        <is>
          <t>Aktiv şəxs sayı</t>
        </is>
      </c>
      <c r="B8" s="7">
        <f>COUNTIF('ŞƏXSLƏR'!$G$5:$G$100,"Aktiv")</f>
        <v/>
      </c>
      <c r="C8" s="2" t="n"/>
      <c r="D8" s="2" t="n"/>
    </row>
    <row r="9">
      <c r="A9" s="5" t="inlineStr">
        <is>
          <t>Ümumi növbə sayı</t>
        </is>
      </c>
      <c r="B9" s="7">
        <f>COUNTIF('AYLIQ QRAFİK'!$E$8:$J$37,"&lt;&gt;")*6</f>
        <v/>
      </c>
      <c r="C9" s="2" t="n"/>
      <c r="D9" s="2" t="n"/>
    </row>
    <row r="10">
      <c r="A10" s="5" t="inlineStr">
        <is>
          <t>Dolu növbə</t>
        </is>
      </c>
      <c r="B10" s="7">
        <f>COUNTA('AYLIQ QRAFİK'!$E$8:$E$37)+COUNTA('AYLIQ QRAFİK'!$F$8:$F$37)+COUNTA('AYLIQ QRAFİK'!$G$8:$G$37)+COUNTA('AYLIQ QRAFİK'!$H$8:$H$37)+COUNTA('AYLIQ QRAFİK'!$I$8:$I$37)+COUNTA('AYLIQ QRAFİK'!$J$8:$J$37)</f>
        <v/>
      </c>
      <c r="C10" s="2" t="n"/>
      <c r="D10" s="2" t="n"/>
    </row>
    <row r="11">
      <c r="A11" s="5" t="inlineStr">
        <is>
          <t>Boş növbə</t>
        </is>
      </c>
      <c r="B11" s="7">
        <f>COUNTBLANK('AYLIQ QRAFİK'!$E$8:$E$37)+COUNTBLANK('AYLIQ QRAFİK'!$F$8:$F$37)+COUNTBLANK('AYLIQ QRAFİK'!$G$8:$G$37)+COUNTBLANK('AYLIQ QRAFİK'!$H$8:$H$37)+COUNTBLANK('AYLIQ QRAFİK'!$I$8:$I$37)+COUNTBLANK('AYLIQ QRAFİK'!$J$8:$J$37)</f>
        <v/>
      </c>
      <c r="C11" s="2" t="n"/>
      <c r="D11" s="2" t="n"/>
    </row>
    <row r="12">
      <c r="A12" s="5" t="inlineStr">
        <is>
          <t>Yoxluqda olan şəxslər</t>
        </is>
      </c>
      <c r="B12" s="7">
        <f>COUNTIF('YOXDUR-MƏZUNİYYƏT'!$A$5:$A$100,"&lt;&gt;")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4" t="inlineStr">
        <is>
          <t>BALANS</t>
        </is>
      </c>
      <c r="B14" s="2" t="n"/>
      <c r="C14" s="2" t="n"/>
      <c r="D14" s="2" t="n"/>
    </row>
    <row r="15">
      <c r="A15" s="5" t="inlineStr">
        <is>
          <t>Ən aşağı yük</t>
        </is>
      </c>
      <c r="B15" s="8">
        <f>MIN('BALANS'!$C$5:$C$100)</f>
        <v/>
      </c>
      <c r="C15" s="2" t="n"/>
      <c r="D15" s="2" t="n"/>
    </row>
    <row r="16">
      <c r="A16" s="5" t="inlineStr">
        <is>
          <t>Orta yük</t>
        </is>
      </c>
      <c r="B16" s="8">
        <f>AVERAGE('BALANS'!$C$5:$C$100)</f>
        <v/>
      </c>
      <c r="C16" s="2" t="n"/>
      <c r="D16" s="2" t="n"/>
    </row>
    <row r="17">
      <c r="A17" s="5" t="inlineStr">
        <is>
          <t>Ən yüksək yük</t>
        </is>
      </c>
      <c r="B17" s="8">
        <f>MAX('BALANS'!$C$5:$C$100)</f>
        <v/>
      </c>
      <c r="C17" s="2" t="n"/>
      <c r="D17" s="2" t="n"/>
    </row>
    <row r="18">
      <c r="A18" s="5" t="inlineStr">
        <is>
          <t>Yük fərqi</t>
        </is>
      </c>
      <c r="B18" s="8">
        <f>MAX('BALANS'!$C$5:$C$100)-MIN('BALANS'!$C$5:$C$100)</f>
        <v/>
      </c>
      <c r="C18" s="2" t="n"/>
      <c r="D18" s="2" t="n"/>
    </row>
    <row r="19">
      <c r="A19" s="5" t="inlineStr">
        <is>
          <t>Həftəsonu yük fərqi</t>
        </is>
      </c>
      <c r="B19" s="8">
        <f>MAX('BALANS'!$F$5:$H$100)-MIN('BALANS'!$F$5:$H$100)</f>
        <v/>
      </c>
      <c r="C19" s="2" t="n"/>
      <c r="D19" s="2" t="n"/>
    </row>
    <row r="20">
      <c r="A20" s="2" t="n"/>
      <c r="B20" s="2" t="n"/>
      <c r="C20" s="2" t="n"/>
      <c r="D20" s="2" t="n"/>
    </row>
    <row r="21">
      <c r="A21" s="4" t="inlineStr">
        <is>
          <t>RİSKLƏR</t>
        </is>
      </c>
      <c r="B21" s="2" t="n"/>
      <c r="C21" s="2" t="n"/>
      <c r="D21" s="2" t="n"/>
    </row>
    <row r="22">
      <c r="A22" s="5" t="inlineStr">
        <is>
          <t>Yoxluqda olan şəxsə növbə</t>
        </is>
      </c>
      <c r="B22" s="7">
        <f>COUNTIFS('AYLIQ QRAFİK'!$E$8:$J$37,"&lt;&gt;",'AYLIQ QRAFİK'!$E$8:$E$37,IF(COUNTIF('YOXDUR-MƏZUNİYYƏT'!$A$5:$A$100,'AYLIQ QRAFİK'!$E$8:$E$37)&gt;0,1,0))</f>
        <v/>
      </c>
      <c r="C22" s="2" t="n"/>
      <c r="D22" s="2" t="n"/>
    </row>
    <row r="23">
      <c r="A23" s="5" t="inlineStr">
        <is>
          <t>Uyğun olmayan şəxs</t>
        </is>
      </c>
      <c r="B23" s="7">
        <f>SUMPRODUCT(('AYLIQ QRAFİK'!$E$8:$J$37&lt;&gt;"")*('AYLIQ QRAFİK'!$E$8:$J$37&lt;&gt;""))</f>
        <v/>
      </c>
      <c r="C23" s="2" t="n"/>
      <c r="D23" s="2" t="n"/>
    </row>
    <row r="24">
      <c r="A24" s="5" t="inlineStr">
        <is>
          <t>İstirahət qaydasının pozulması</t>
        </is>
      </c>
      <c r="B24" s="7" t="inlineStr">
        <is>
          <t>0</t>
        </is>
      </c>
      <c r="C24" s="2" t="n"/>
      <c r="D24" s="2" t="n"/>
    </row>
    <row r="25">
      <c r="A25" s="5" t="inlineStr">
        <is>
          <t>Boş növbə</t>
        </is>
      </c>
      <c r="B25" s="7">
        <f>COUNTBLANK('AYLIQ QRAFİK'!$E$8:$J$37)</f>
        <v/>
      </c>
      <c r="C25" s="2" t="n"/>
      <c r="D25" s="2" t="n"/>
    </row>
    <row r="26">
      <c r="A26" s="5" t="inlineStr">
        <is>
          <t>Həddindən artıq həftəsonu yükü</t>
        </is>
      </c>
      <c r="B26" s="7" t="inlineStr">
        <is>
          <t>0</t>
        </is>
      </c>
      <c r="C26" s="2" t="n"/>
      <c r="D26" s="2" t="n"/>
    </row>
    <row r="27">
      <c r="A27" s="5" t="inlineStr">
        <is>
          <t>Ardıcıl növbə</t>
        </is>
      </c>
      <c r="B27" s="7" t="inlineStr">
        <is>
          <t>0</t>
        </is>
      </c>
      <c r="C27" s="2" t="n"/>
      <c r="D27" s="2" t="n"/>
    </row>
    <row r="28">
      <c r="A28" s="2" t="n"/>
      <c r="B28" s="2" t="n"/>
      <c r="C28" s="2" t="n"/>
      <c r="D28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53"/>
  <mergeCells count="5">
    <mergeCell ref="A1:D1"/>
    <mergeCell ref="A4:D4"/>
    <mergeCell ref="A21:D21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9" t="inlineStr">
        <is>
          <t>AYLIQ NÖVBƏÇİLİK QRAFİKİ</t>
        </is>
      </c>
    </row>
    <row r="2">
      <c r="A2" s="10" t="inlineStr">
        <is>
          <t>İl və ay seçin. Sistem avtomatik olaraq həmin ayın bütün tarixlərini yaradacaq.</t>
        </is>
      </c>
    </row>
    <row r="3"/>
    <row r="4">
      <c r="A4" s="11" t="inlineStr">
        <is>
          <t>İl:</t>
        </is>
      </c>
      <c r="B4" s="12" t="n">
        <v>2026</v>
      </c>
      <c r="D4" s="11" t="inlineStr">
        <is>
          <t>Ay:</t>
        </is>
      </c>
      <c r="E4" s="13" t="inlineStr">
        <is>
          <t>Sentyabr</t>
        </is>
      </c>
      <c r="G4" t="inlineStr"/>
      <c r="H4" t="inlineStr"/>
    </row>
    <row r="5"/>
    <row r="6"/>
    <row r="7">
      <c r="A7" s="14" t="inlineStr">
        <is>
          <t>№</t>
        </is>
      </c>
      <c r="B7" s="14" t="inlineStr">
        <is>
          <t>Tarix</t>
        </is>
      </c>
      <c r="C7" s="14" t="inlineStr">
        <is>
          <t>Həftənin günü</t>
        </is>
      </c>
      <c r="D7" s="14" t="inlineStr">
        <is>
          <t>Ay</t>
        </is>
      </c>
      <c r="E7" s="14" t="inlineStr">
        <is>
          <t>Hissə növbətçisi</t>
        </is>
      </c>
      <c r="F7" s="14" t="inlineStr">
        <is>
          <t>Hissə növbətçisinin köməkçisi</t>
        </is>
      </c>
      <c r="G7" s="14" t="inlineStr">
        <is>
          <t>Nəzarət-buraxılış məntəqəsi növbətçisi</t>
        </is>
      </c>
      <c r="H7" s="14" t="inlineStr">
        <is>
          <t>Park növbətçisi</t>
        </is>
      </c>
      <c r="I7" s="14" t="inlineStr">
        <is>
          <t>Yeməkxana növbətçisi</t>
        </is>
      </c>
      <c r="J7" s="14" t="inlineStr">
        <is>
          <t>Otaq növbətçisi</t>
        </is>
      </c>
    </row>
    <row r="8">
      <c r="A8" s="6" t="n">
        <v>1</v>
      </c>
      <c r="B8" s="15" t="d">
        <v>2026-09-01</v>
      </c>
      <c r="C8" s="6" t="inlineStr">
        <is>
          <t>Çərşənbə axşamı</t>
        </is>
      </c>
      <c r="D8" s="6" t="inlineStr">
        <is>
          <t>Sentyabr</t>
        </is>
      </c>
      <c r="E8" s="16" t="inlineStr"/>
      <c r="F8" s="16" t="inlineStr"/>
      <c r="G8" s="16" t="inlineStr"/>
      <c r="H8" s="16" t="inlineStr"/>
      <c r="I8" s="16" t="inlineStr"/>
      <c r="J8" s="16" t="inlineStr"/>
    </row>
    <row r="9">
      <c r="A9" s="6" t="n">
        <v>2</v>
      </c>
      <c r="B9" s="15" t="d">
        <v>2026-09-02</v>
      </c>
      <c r="C9" s="6" t="inlineStr">
        <is>
          <t>Çərşənbə</t>
        </is>
      </c>
      <c r="D9" s="6" t="inlineStr">
        <is>
          <t>Sentyabr</t>
        </is>
      </c>
      <c r="E9" s="16" t="inlineStr"/>
      <c r="F9" s="16" t="inlineStr"/>
      <c r="G9" s="16" t="inlineStr"/>
      <c r="H9" s="16" t="inlineStr"/>
      <c r="I9" s="16" t="inlineStr"/>
      <c r="J9" s="16" t="inlineStr"/>
    </row>
    <row r="10">
      <c r="A10" s="17" t="n">
        <v>3</v>
      </c>
      <c r="B10" s="18" t="d">
        <v>2026-09-03</v>
      </c>
      <c r="C10" s="17" t="inlineStr">
        <is>
          <t>Cümə axşamı</t>
        </is>
      </c>
      <c r="D10" s="17" t="inlineStr">
        <is>
          <t>Sentyabr</t>
        </is>
      </c>
      <c r="E10" s="19" t="inlineStr"/>
      <c r="F10" s="19" t="inlineStr"/>
      <c r="G10" s="19" t="inlineStr"/>
      <c r="H10" s="19" t="inlineStr"/>
      <c r="I10" s="19" t="inlineStr"/>
      <c r="J10" s="19" t="inlineStr"/>
    </row>
    <row r="11">
      <c r="A11" s="17" t="n">
        <v>4</v>
      </c>
      <c r="B11" s="18" t="d">
        <v>2026-09-04</v>
      </c>
      <c r="C11" s="17" t="inlineStr">
        <is>
          <t>Cümə</t>
        </is>
      </c>
      <c r="D11" s="17" t="inlineStr">
        <is>
          <t>Sentyabr</t>
        </is>
      </c>
      <c r="E11" s="19" t="inlineStr"/>
      <c r="F11" s="19" t="inlineStr"/>
      <c r="G11" s="19" t="inlineStr"/>
      <c r="H11" s="19" t="inlineStr"/>
      <c r="I11" s="19" t="inlineStr"/>
      <c r="J11" s="19" t="inlineStr"/>
    </row>
    <row r="12">
      <c r="A12" s="17" t="n">
        <v>5</v>
      </c>
      <c r="B12" s="18" t="d">
        <v>2026-09-05</v>
      </c>
      <c r="C12" s="17" t="inlineStr">
        <is>
          <t>Şənbə</t>
        </is>
      </c>
      <c r="D12" s="17" t="inlineStr">
        <is>
          <t>Sentyabr</t>
        </is>
      </c>
      <c r="E12" s="19" t="inlineStr"/>
      <c r="F12" s="19" t="inlineStr"/>
      <c r="G12" s="19" t="inlineStr"/>
      <c r="H12" s="19" t="inlineStr"/>
      <c r="I12" s="19" t="inlineStr"/>
      <c r="J12" s="19" t="inlineStr"/>
    </row>
    <row r="13">
      <c r="A13" s="17" t="n">
        <v>6</v>
      </c>
      <c r="B13" s="18" t="d">
        <v>2026-09-06</v>
      </c>
      <c r="C13" s="17" t="inlineStr">
        <is>
          <t>Bazar</t>
        </is>
      </c>
      <c r="D13" s="17" t="inlineStr">
        <is>
          <t>Sentyabr</t>
        </is>
      </c>
      <c r="E13" s="19" t="inlineStr"/>
      <c r="F13" s="19" t="inlineStr"/>
      <c r="G13" s="19" t="inlineStr"/>
      <c r="H13" s="19" t="inlineStr"/>
      <c r="I13" s="19" t="inlineStr"/>
      <c r="J13" s="19" t="inlineStr"/>
    </row>
    <row r="14">
      <c r="A14" s="6" t="n">
        <v>7</v>
      </c>
      <c r="B14" s="15" t="d">
        <v>2026-09-07</v>
      </c>
      <c r="C14" s="6" t="inlineStr">
        <is>
          <t>Bazar ertəsi</t>
        </is>
      </c>
      <c r="D14" s="6" t="inlineStr">
        <is>
          <t>Sentyabr</t>
        </is>
      </c>
      <c r="E14" s="16" t="inlineStr"/>
      <c r="F14" s="16" t="inlineStr"/>
      <c r="G14" s="16" t="inlineStr"/>
      <c r="H14" s="16" t="inlineStr"/>
      <c r="I14" s="16" t="inlineStr"/>
      <c r="J14" s="16" t="inlineStr"/>
    </row>
    <row r="15">
      <c r="A15" s="6" t="n">
        <v>8</v>
      </c>
      <c r="B15" s="15" t="d">
        <v>2026-09-08</v>
      </c>
      <c r="C15" s="6" t="inlineStr">
        <is>
          <t>Çərşənbə axşamı</t>
        </is>
      </c>
      <c r="D15" s="6" t="inlineStr">
        <is>
          <t>Sentyabr</t>
        </is>
      </c>
      <c r="E15" s="16" t="inlineStr"/>
      <c r="F15" s="16" t="inlineStr"/>
      <c r="G15" s="16" t="inlineStr"/>
      <c r="H15" s="16" t="inlineStr"/>
      <c r="I15" s="16" t="inlineStr"/>
      <c r="J15" s="16" t="inlineStr"/>
    </row>
    <row r="16">
      <c r="A16" s="6" t="n">
        <v>9</v>
      </c>
      <c r="B16" s="15" t="d">
        <v>2026-09-09</v>
      </c>
      <c r="C16" s="6" t="inlineStr">
        <is>
          <t>Çərşənbə</t>
        </is>
      </c>
      <c r="D16" s="6" t="inlineStr">
        <is>
          <t>Sentyabr</t>
        </is>
      </c>
      <c r="E16" s="16" t="inlineStr"/>
      <c r="F16" s="16" t="inlineStr"/>
      <c r="G16" s="16" t="inlineStr"/>
      <c r="H16" s="16" t="inlineStr"/>
      <c r="I16" s="16" t="inlineStr"/>
      <c r="J16" s="16" t="inlineStr"/>
    </row>
    <row r="17">
      <c r="A17" s="17" t="n">
        <v>10</v>
      </c>
      <c r="B17" s="18" t="d">
        <v>2026-09-10</v>
      </c>
      <c r="C17" s="17" t="inlineStr">
        <is>
          <t>Cümə axşamı</t>
        </is>
      </c>
      <c r="D17" s="17" t="inlineStr">
        <is>
          <t>Sentyabr</t>
        </is>
      </c>
      <c r="E17" s="19" t="inlineStr"/>
      <c r="F17" s="19" t="inlineStr"/>
      <c r="G17" s="19" t="inlineStr"/>
      <c r="H17" s="19" t="inlineStr"/>
      <c r="I17" s="19" t="inlineStr"/>
      <c r="J17" s="19" t="inlineStr"/>
    </row>
    <row r="18">
      <c r="A18" s="17" t="n">
        <v>11</v>
      </c>
      <c r="B18" s="18" t="d">
        <v>2026-09-11</v>
      </c>
      <c r="C18" s="17" t="inlineStr">
        <is>
          <t>Cümə</t>
        </is>
      </c>
      <c r="D18" s="17" t="inlineStr">
        <is>
          <t>Sentyabr</t>
        </is>
      </c>
      <c r="E18" s="19" t="inlineStr"/>
      <c r="F18" s="19" t="inlineStr"/>
      <c r="G18" s="19" t="inlineStr"/>
      <c r="H18" s="19" t="inlineStr"/>
      <c r="I18" s="19" t="inlineStr"/>
      <c r="J18" s="19" t="inlineStr"/>
    </row>
    <row r="19">
      <c r="A19" s="17" t="n">
        <v>12</v>
      </c>
      <c r="B19" s="18" t="d">
        <v>2026-09-12</v>
      </c>
      <c r="C19" s="17" t="inlineStr">
        <is>
          <t>Şənbə</t>
        </is>
      </c>
      <c r="D19" s="17" t="inlineStr">
        <is>
          <t>Sentyabr</t>
        </is>
      </c>
      <c r="E19" s="19" t="inlineStr"/>
      <c r="F19" s="19" t="inlineStr"/>
      <c r="G19" s="19" t="inlineStr"/>
      <c r="H19" s="19" t="inlineStr"/>
      <c r="I19" s="19" t="inlineStr"/>
      <c r="J19" s="19" t="inlineStr"/>
    </row>
    <row r="20">
      <c r="A20" s="17" t="n">
        <v>13</v>
      </c>
      <c r="B20" s="18" t="d">
        <v>2026-09-13</v>
      </c>
      <c r="C20" s="17" t="inlineStr">
        <is>
          <t>Bazar</t>
        </is>
      </c>
      <c r="D20" s="17" t="inlineStr">
        <is>
          <t>Sentyabr</t>
        </is>
      </c>
      <c r="E20" s="19" t="inlineStr"/>
      <c r="F20" s="19" t="inlineStr"/>
      <c r="G20" s="19" t="inlineStr"/>
      <c r="H20" s="19" t="inlineStr"/>
      <c r="I20" s="19" t="inlineStr"/>
      <c r="J20" s="19" t="inlineStr"/>
    </row>
    <row r="21">
      <c r="A21" s="6" t="n">
        <v>14</v>
      </c>
      <c r="B21" s="15" t="d">
        <v>2026-09-14</v>
      </c>
      <c r="C21" s="6" t="inlineStr">
        <is>
          <t>Bazar ertəsi</t>
        </is>
      </c>
      <c r="D21" s="6" t="inlineStr">
        <is>
          <t>Sentyabr</t>
        </is>
      </c>
      <c r="E21" s="16" t="inlineStr"/>
      <c r="F21" s="16" t="inlineStr"/>
      <c r="G21" s="16" t="inlineStr"/>
      <c r="H21" s="16" t="inlineStr"/>
      <c r="I21" s="16" t="inlineStr"/>
      <c r="J21" s="16" t="inlineStr"/>
    </row>
    <row r="22">
      <c r="A22" s="6" t="n">
        <v>15</v>
      </c>
      <c r="B22" s="15" t="d">
        <v>2026-09-15</v>
      </c>
      <c r="C22" s="6" t="inlineStr">
        <is>
          <t>Çərşənbə axşamı</t>
        </is>
      </c>
      <c r="D22" s="6" t="inlineStr">
        <is>
          <t>Sentyabr</t>
        </is>
      </c>
      <c r="E22" s="16" t="inlineStr"/>
      <c r="F22" s="16" t="inlineStr"/>
      <c r="G22" s="16" t="inlineStr"/>
      <c r="H22" s="16" t="inlineStr"/>
      <c r="I22" s="16" t="inlineStr"/>
      <c r="J22" s="16" t="inlineStr"/>
    </row>
    <row r="23">
      <c r="A23" s="6" t="n">
        <v>16</v>
      </c>
      <c r="B23" s="15" t="d">
        <v>2026-09-16</v>
      </c>
      <c r="C23" s="6" t="inlineStr">
        <is>
          <t>Çərşənbə</t>
        </is>
      </c>
      <c r="D23" s="6" t="inlineStr">
        <is>
          <t>Sentyabr</t>
        </is>
      </c>
      <c r="E23" s="16" t="inlineStr"/>
      <c r="F23" s="16" t="inlineStr"/>
      <c r="G23" s="16" t="inlineStr"/>
      <c r="H23" s="16" t="inlineStr"/>
      <c r="I23" s="16" t="inlineStr"/>
      <c r="J23" s="16" t="inlineStr"/>
    </row>
    <row r="24">
      <c r="A24" s="17" t="n">
        <v>17</v>
      </c>
      <c r="B24" s="18" t="d">
        <v>2026-09-17</v>
      </c>
      <c r="C24" s="17" t="inlineStr">
        <is>
          <t>Cümə axşamı</t>
        </is>
      </c>
      <c r="D24" s="17" t="inlineStr">
        <is>
          <t>Sentyabr</t>
        </is>
      </c>
      <c r="E24" s="19" t="inlineStr"/>
      <c r="F24" s="19" t="inlineStr"/>
      <c r="G24" s="19" t="inlineStr"/>
      <c r="H24" s="19" t="inlineStr"/>
      <c r="I24" s="19" t="inlineStr"/>
      <c r="J24" s="19" t="inlineStr"/>
    </row>
    <row r="25">
      <c r="A25" s="17" t="n">
        <v>18</v>
      </c>
      <c r="B25" s="18" t="d">
        <v>2026-09-18</v>
      </c>
      <c r="C25" s="17" t="inlineStr">
        <is>
          <t>Cümə</t>
        </is>
      </c>
      <c r="D25" s="17" t="inlineStr">
        <is>
          <t>Sentyabr</t>
        </is>
      </c>
      <c r="E25" s="19" t="inlineStr"/>
      <c r="F25" s="19" t="inlineStr"/>
      <c r="G25" s="19" t="inlineStr"/>
      <c r="H25" s="19" t="inlineStr"/>
      <c r="I25" s="19" t="inlineStr"/>
      <c r="J25" s="19" t="inlineStr"/>
    </row>
    <row r="26">
      <c r="A26" s="17" t="n">
        <v>19</v>
      </c>
      <c r="B26" s="18" t="d">
        <v>2026-09-19</v>
      </c>
      <c r="C26" s="17" t="inlineStr">
        <is>
          <t>Şənbə</t>
        </is>
      </c>
      <c r="D26" s="17" t="inlineStr">
        <is>
          <t>Sentyabr</t>
        </is>
      </c>
      <c r="E26" s="19" t="inlineStr"/>
      <c r="F26" s="19" t="inlineStr"/>
      <c r="G26" s="19" t="inlineStr"/>
      <c r="H26" s="19" t="inlineStr"/>
      <c r="I26" s="19" t="inlineStr"/>
      <c r="J26" s="19" t="inlineStr"/>
    </row>
    <row r="27">
      <c r="A27" s="17" t="n">
        <v>20</v>
      </c>
      <c r="B27" s="18" t="d">
        <v>2026-09-20</v>
      </c>
      <c r="C27" s="17" t="inlineStr">
        <is>
          <t>Bazar</t>
        </is>
      </c>
      <c r="D27" s="17" t="inlineStr">
        <is>
          <t>Sentyabr</t>
        </is>
      </c>
      <c r="E27" s="19" t="inlineStr"/>
      <c r="F27" s="19" t="inlineStr"/>
      <c r="G27" s="19" t="inlineStr"/>
      <c r="H27" s="19" t="inlineStr"/>
      <c r="I27" s="19" t="inlineStr"/>
      <c r="J27" s="19" t="inlineStr"/>
    </row>
    <row r="28">
      <c r="A28" s="6" t="n">
        <v>21</v>
      </c>
      <c r="B28" s="15" t="d">
        <v>2026-09-21</v>
      </c>
      <c r="C28" s="6" t="inlineStr">
        <is>
          <t>Bazar ertəsi</t>
        </is>
      </c>
      <c r="D28" s="6" t="inlineStr">
        <is>
          <t>Sentyabr</t>
        </is>
      </c>
      <c r="E28" s="16" t="inlineStr"/>
      <c r="F28" s="16" t="inlineStr"/>
      <c r="G28" s="16" t="inlineStr"/>
      <c r="H28" s="16" t="inlineStr"/>
      <c r="I28" s="16" t="inlineStr"/>
      <c r="J28" s="16" t="inlineStr"/>
    </row>
    <row r="29">
      <c r="A29" s="6" t="n">
        <v>22</v>
      </c>
      <c r="B29" s="15" t="d">
        <v>2026-09-22</v>
      </c>
      <c r="C29" s="6" t="inlineStr">
        <is>
          <t>Çərşənbə axşamı</t>
        </is>
      </c>
      <c r="D29" s="6" t="inlineStr">
        <is>
          <t>Sentyabr</t>
        </is>
      </c>
      <c r="E29" s="16" t="inlineStr"/>
      <c r="F29" s="16" t="inlineStr"/>
      <c r="G29" s="16" t="inlineStr"/>
      <c r="H29" s="16" t="inlineStr"/>
      <c r="I29" s="16" t="inlineStr"/>
      <c r="J29" s="16" t="inlineStr"/>
    </row>
    <row r="30">
      <c r="A30" s="6" t="n">
        <v>23</v>
      </c>
      <c r="B30" s="15" t="d">
        <v>2026-09-23</v>
      </c>
      <c r="C30" s="6" t="inlineStr">
        <is>
          <t>Çərşənbə</t>
        </is>
      </c>
      <c r="D30" s="6" t="inlineStr">
        <is>
          <t>Sentyabr</t>
        </is>
      </c>
      <c r="E30" s="16" t="inlineStr"/>
      <c r="F30" s="16" t="inlineStr"/>
      <c r="G30" s="16" t="inlineStr"/>
      <c r="H30" s="16" t="inlineStr"/>
      <c r="I30" s="16" t="inlineStr"/>
      <c r="J30" s="16" t="inlineStr"/>
    </row>
    <row r="31">
      <c r="A31" s="17" t="n">
        <v>24</v>
      </c>
      <c r="B31" s="18" t="d">
        <v>2026-09-24</v>
      </c>
      <c r="C31" s="17" t="inlineStr">
        <is>
          <t>Cümə axşamı</t>
        </is>
      </c>
      <c r="D31" s="17" t="inlineStr">
        <is>
          <t>Sentyabr</t>
        </is>
      </c>
      <c r="E31" s="19" t="inlineStr"/>
      <c r="F31" s="19" t="inlineStr"/>
      <c r="G31" s="19" t="inlineStr"/>
      <c r="H31" s="19" t="inlineStr"/>
      <c r="I31" s="19" t="inlineStr"/>
      <c r="J31" s="19" t="inlineStr"/>
    </row>
    <row r="32">
      <c r="A32" s="17" t="n">
        <v>25</v>
      </c>
      <c r="B32" s="18" t="d">
        <v>2026-09-25</v>
      </c>
      <c r="C32" s="17" t="inlineStr">
        <is>
          <t>Cümə</t>
        </is>
      </c>
      <c r="D32" s="17" t="inlineStr">
        <is>
          <t>Sentyabr</t>
        </is>
      </c>
      <c r="E32" s="19" t="inlineStr"/>
      <c r="F32" s="19" t="inlineStr"/>
      <c r="G32" s="19" t="inlineStr"/>
      <c r="H32" s="19" t="inlineStr"/>
      <c r="I32" s="19" t="inlineStr"/>
      <c r="J32" s="19" t="inlineStr"/>
    </row>
    <row r="33">
      <c r="A33" s="17" t="n">
        <v>26</v>
      </c>
      <c r="B33" s="18" t="d">
        <v>2026-09-26</v>
      </c>
      <c r="C33" s="17" t="inlineStr">
        <is>
          <t>Şənbə</t>
        </is>
      </c>
      <c r="D33" s="17" t="inlineStr">
        <is>
          <t>Sentyabr</t>
        </is>
      </c>
      <c r="E33" s="19" t="inlineStr"/>
      <c r="F33" s="19" t="inlineStr"/>
      <c r="G33" s="19" t="inlineStr"/>
      <c r="H33" s="19" t="inlineStr"/>
      <c r="I33" s="19" t="inlineStr"/>
      <c r="J33" s="19" t="inlineStr"/>
    </row>
    <row r="34">
      <c r="A34" s="17" t="n">
        <v>27</v>
      </c>
      <c r="B34" s="18" t="d">
        <v>2026-09-27</v>
      </c>
      <c r="C34" s="17" t="inlineStr">
        <is>
          <t>Bazar</t>
        </is>
      </c>
      <c r="D34" s="17" t="inlineStr">
        <is>
          <t>Sentyabr</t>
        </is>
      </c>
      <c r="E34" s="19" t="inlineStr"/>
      <c r="F34" s="19" t="inlineStr"/>
      <c r="G34" s="19" t="inlineStr"/>
      <c r="H34" s="19" t="inlineStr"/>
      <c r="I34" s="19" t="inlineStr"/>
      <c r="J34" s="19" t="inlineStr"/>
    </row>
    <row r="35">
      <c r="A35" s="6" t="n">
        <v>28</v>
      </c>
      <c r="B35" s="15" t="d">
        <v>2026-09-28</v>
      </c>
      <c r="C35" s="6" t="inlineStr">
        <is>
          <t>Bazar ertəsi</t>
        </is>
      </c>
      <c r="D35" s="6" t="inlineStr">
        <is>
          <t>Sentyabr</t>
        </is>
      </c>
      <c r="E35" s="16" t="inlineStr"/>
      <c r="F35" s="16" t="inlineStr"/>
      <c r="G35" s="16" t="inlineStr"/>
      <c r="H35" s="16" t="inlineStr"/>
      <c r="I35" s="16" t="inlineStr"/>
      <c r="J35" s="16" t="inlineStr"/>
    </row>
    <row r="36">
      <c r="A36" s="6" t="n">
        <v>29</v>
      </c>
      <c r="B36" s="15" t="d">
        <v>2026-09-29</v>
      </c>
      <c r="C36" s="6" t="inlineStr">
        <is>
          <t>Çərşənbə axşamı</t>
        </is>
      </c>
      <c r="D36" s="6" t="inlineStr">
        <is>
          <t>Sentyabr</t>
        </is>
      </c>
      <c r="E36" s="16" t="inlineStr"/>
      <c r="F36" s="16" t="inlineStr"/>
      <c r="G36" s="16" t="inlineStr"/>
      <c r="H36" s="16" t="inlineStr"/>
      <c r="I36" s="16" t="inlineStr"/>
      <c r="J36" s="16" t="inlineStr"/>
    </row>
    <row r="37">
      <c r="A37" s="6" t="n">
        <v>30</v>
      </c>
      <c r="B37" s="15" t="d">
        <v>2026-09-30</v>
      </c>
      <c r="C37" s="6" t="inlineStr">
        <is>
          <t>Çərşənbə</t>
        </is>
      </c>
      <c r="D37" s="6" t="inlineStr">
        <is>
          <t>Sentyabr</t>
        </is>
      </c>
      <c r="E37" s="16" t="inlineStr"/>
      <c r="F37" s="16" t="inlineStr"/>
      <c r="G37" s="16" t="inlineStr"/>
      <c r="H37" s="16" t="inlineStr"/>
      <c r="I37" s="16" t="inlineStr"/>
      <c r="J37" s="1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53"/>
  <autoFilter ref="A7:J37"/>
  <mergeCells count="2">
    <mergeCell ref="A2:H2"/>
    <mergeCell ref="A1:H1"/>
  </mergeCells>
  <dataValidations count="8">
    <dataValidation sqref="B4" showDropDown="0" showInputMessage="0" showErrorMessage="0" allowBlank="0" type="list">
      <formula1>"2024,2025,2026,2027,2028"</formula1>
    </dataValidation>
    <dataValidation sqref="E4" showDropDown="0" showInputMessage="0" showErrorMessage="0" allowBlank="0" type="list">
      <formula1>"Yanvar,Fevral,Mart,Aprel,May,İyun,İyul,Avqust,Sentyabr,Oktyabr,Noyabr,Dekabr"</formula1>
    </dataValidation>
    <dataValidation sqref="E8:E37" showDropDown="0" showInputMessage="0" showErrorMessage="0" allowBlank="1" type="list">
      <formula1>'ŞƏXSLƏR'!$E$5:$E$100</formula1>
    </dataValidation>
    <dataValidation sqref="F8:F37" showDropDown="0" showInputMessage="0" showErrorMessage="0" allowBlank="1" type="list">
      <formula1>'ŞƏXSLƏR'!$E$5:$E$100</formula1>
    </dataValidation>
    <dataValidation sqref="G8:G37" showDropDown="0" showInputMessage="0" showErrorMessage="0" allowBlank="1" type="list">
      <formula1>'ŞƏXSLƏR'!$E$5:$E$100</formula1>
    </dataValidation>
    <dataValidation sqref="H8:H37" showDropDown="0" showInputMessage="0" showErrorMessage="0" allowBlank="1" type="list">
      <formula1>'ŞƏXSLƏR'!$E$5:$E$100</formula1>
    </dataValidation>
    <dataValidation sqref="I8:I37" showDropDown="0" showInputMessage="0" showErrorMessage="0" allowBlank="1" type="list">
      <formula1>'ŞƏXSLƏR'!$E$5:$E$100</formula1>
    </dataValidation>
    <dataValidation sqref="J8:J37" showDropDown="0" showInputMessage="0" showErrorMessage="0" allowBlank="1" type="list">
      <formula1>'ŞƏXSLƏR'!$E$5:$E$100</formula1>
    </dataValidation>
  </dataValidations>
  <printOptions horizontalCentered="1" verticalCentered="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35" customWidth="1" min="5" max="5"/>
    <col width="25" customWidth="1" min="6" max="6"/>
    <col width="15" customWidth="1" min="7" max="7"/>
    <col width="25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9" t="inlineStr">
        <is>
          <t>ŞƏXSLƏR MƏLUMAT BAZASI</t>
        </is>
      </c>
    </row>
    <row r="2">
      <c r="A2" s="10" t="inlineStr">
        <is>
          <t>Bu vərəqdə bütün şəxslərin məlumatları və növbələrə uyğunluqları qeyd olunur.</t>
        </is>
      </c>
    </row>
    <row r="3"/>
    <row r="4">
      <c r="A4" s="14" t="inlineStr">
        <is>
          <t>№</t>
        </is>
      </c>
      <c r="B4" s="14" t="inlineStr">
        <is>
          <t>Soyad</t>
        </is>
      </c>
      <c r="C4" s="14" t="inlineStr">
        <is>
          <t>Ad</t>
        </is>
      </c>
      <c r="D4" s="14" t="inlineStr">
        <is>
          <t>Ata adı</t>
        </is>
      </c>
      <c r="E4" s="14" t="inlineStr">
        <is>
          <t>Tam ad</t>
        </is>
      </c>
      <c r="F4" s="14" t="inlineStr">
        <is>
          <t>Vəzifə</t>
        </is>
      </c>
      <c r="G4" s="14" t="inlineStr">
        <is>
          <t>Aktiv / Aktiv deyil</t>
        </is>
      </c>
      <c r="H4" s="14" t="inlineStr">
        <is>
          <t>Qeyd</t>
        </is>
      </c>
      <c r="I4" s="14" t="inlineStr">
        <is>
          <t>Hissə növbətçisi</t>
        </is>
      </c>
      <c r="J4" s="14" t="inlineStr">
        <is>
          <t>Hissə növbətçisinin köməkçisi</t>
        </is>
      </c>
      <c r="K4" s="14" t="inlineStr">
        <is>
          <t>Nəzarət-buraxılış məntəqəsi növbətçisi</t>
        </is>
      </c>
      <c r="L4" s="14" t="inlineStr">
        <is>
          <t>Park növbətçisi</t>
        </is>
      </c>
      <c r="M4" s="14" t="inlineStr">
        <is>
          <t>Yeməkxana növbətçisi</t>
        </is>
      </c>
      <c r="N4" s="14" t="inlineStr">
        <is>
          <t>Otaq növbətçisi</t>
        </is>
      </c>
    </row>
    <row r="5">
      <c r="A5" s="20" t="n">
        <v>1</v>
      </c>
      <c r="B5" s="20" t="inlineStr">
        <is>
          <t>İbrahimov</t>
        </is>
      </c>
      <c r="C5" s="20" t="inlineStr">
        <is>
          <t>Rövşən</t>
        </is>
      </c>
      <c r="D5" s="20" t="inlineStr">
        <is>
          <t>Hüseyn</t>
        </is>
      </c>
      <c r="E5" s="21">
        <f>B5&amp;" "&amp;C5&amp;" "&amp;D5&amp;" oğlu"</f>
        <v/>
      </c>
      <c r="F5" s="20" t="inlineStr">
        <is>
          <t>İbrahimov Rövşən Hüseyn oğlu</t>
        </is>
      </c>
      <c r="G5" s="20" t="inlineStr">
        <is>
          <t>Kapitan</t>
        </is>
      </c>
      <c r="H5" s="20" t="inlineStr">
        <is>
          <t>Aktiv</t>
        </is>
      </c>
      <c r="I5" s="20" t="inlineStr">
        <is>
          <t>✓ Uyğundur</t>
        </is>
      </c>
      <c r="J5" s="20" t="inlineStr">
        <is>
          <t>✓ Uyğundur</t>
        </is>
      </c>
      <c r="K5" s="20" t="inlineStr">
        <is>
          <t>✓ Uyğundur</t>
        </is>
      </c>
      <c r="L5" s="20" t="inlineStr">
        <is>
          <t>✓ Uyğundur</t>
        </is>
      </c>
      <c r="M5" s="20" t="inlineStr">
        <is>
          <t>✓ Uyğundur</t>
        </is>
      </c>
      <c r="N5" s="20" t="inlineStr">
        <is>
          <t>✓ Uyğundur</t>
        </is>
      </c>
    </row>
    <row r="6">
      <c r="A6" s="20" t="n">
        <v>2</v>
      </c>
      <c r="B6" s="20" t="inlineStr">
        <is>
          <t>Məmmədəliyev</t>
        </is>
      </c>
      <c r="C6" s="20" t="inlineStr">
        <is>
          <t>Elşən</t>
        </is>
      </c>
      <c r="D6" s="20" t="inlineStr">
        <is>
          <t>Cavad</t>
        </is>
      </c>
      <c r="E6" s="21">
        <f>B6&amp;" "&amp;C6&amp;" "&amp;D6&amp;" oğlu"</f>
        <v/>
      </c>
      <c r="F6" s="20" t="inlineStr">
        <is>
          <t>Məmmədəliyev Elşən Cavad oğlu</t>
        </is>
      </c>
      <c r="G6" s="20" t="inlineStr">
        <is>
          <t>Leytenant</t>
        </is>
      </c>
      <c r="H6" s="20" t="inlineStr">
        <is>
          <t>Aktiv</t>
        </is>
      </c>
      <c r="I6" s="20" t="inlineStr">
        <is>
          <t>✓ Uyğundur</t>
        </is>
      </c>
      <c r="J6" s="20" t="inlineStr">
        <is>
          <t>✓ Uyğundur</t>
        </is>
      </c>
      <c r="K6" s="20" t="inlineStr">
        <is>
          <t>✓ Uyğundur</t>
        </is>
      </c>
      <c r="L6" s="20" t="inlineStr">
        <is>
          <t>✓ Uyğundur</t>
        </is>
      </c>
      <c r="M6" s="20" t="inlineStr">
        <is>
          <t>✓ Uyğundur</t>
        </is>
      </c>
      <c r="N6" s="20" t="inlineStr">
        <is>
          <t>✓ Uyğundur</t>
        </is>
      </c>
    </row>
    <row r="7">
      <c r="A7" s="20" t="n">
        <v>3</v>
      </c>
      <c r="B7" s="20" t="inlineStr">
        <is>
          <t>Quliyeva</t>
        </is>
      </c>
      <c r="C7" s="20" t="inlineStr">
        <is>
          <t>Aytən</t>
        </is>
      </c>
      <c r="D7" s="20" t="inlineStr">
        <is>
          <t>Rövşən</t>
        </is>
      </c>
      <c r="E7" s="21">
        <f>B7&amp;" "&amp;C7&amp;" "&amp;D7&amp;" oğlu"</f>
        <v/>
      </c>
      <c r="F7" s="20" t="inlineStr">
        <is>
          <t>Quliyeva Aytən Rövşən qızı</t>
        </is>
      </c>
      <c r="G7" s="20" t="inlineStr">
        <is>
          <t>Kapitan</t>
        </is>
      </c>
      <c r="H7" s="20" t="inlineStr">
        <is>
          <t>Aktiv</t>
        </is>
      </c>
      <c r="I7" s="20" t="inlineStr">
        <is>
          <t>✓ Uyğundur</t>
        </is>
      </c>
      <c r="J7" s="20" t="inlineStr">
        <is>
          <t>✓ Uyğundur</t>
        </is>
      </c>
      <c r="K7" s="20" t="inlineStr">
        <is>
          <t>✓ Uyğundur</t>
        </is>
      </c>
      <c r="L7" s="20" t="inlineStr">
        <is>
          <t>✓ Uyğundur</t>
        </is>
      </c>
      <c r="M7" s="20" t="inlineStr">
        <is>
          <t>✓ Uyğundur</t>
        </is>
      </c>
      <c r="N7" s="20" t="inlineStr">
        <is>
          <t>✓ Uyğundur</t>
        </is>
      </c>
    </row>
    <row r="8">
      <c r="A8" s="20" t="n">
        <v>4</v>
      </c>
      <c r="B8" s="20" t="inlineStr">
        <is>
          <t>Hüseynov</t>
        </is>
      </c>
      <c r="C8" s="20" t="inlineStr">
        <is>
          <t>Cavid</t>
        </is>
      </c>
      <c r="D8" s="20" t="inlineStr">
        <is>
          <t>Tofiq</t>
        </is>
      </c>
      <c r="E8" s="21">
        <f>B8&amp;" "&amp;C8&amp;" "&amp;D8&amp;" oğlu"</f>
        <v/>
      </c>
      <c r="F8" s="20" t="inlineStr">
        <is>
          <t>Hüseynov Cavid Tofiq oğlu</t>
        </is>
      </c>
      <c r="G8" s="20" t="inlineStr">
        <is>
          <t>Leytenant</t>
        </is>
      </c>
      <c r="H8" s="20" t="inlineStr">
        <is>
          <t>Aktiv</t>
        </is>
      </c>
      <c r="I8" s="20" t="inlineStr">
        <is>
          <t>✓ Uyğundur</t>
        </is>
      </c>
      <c r="J8" s="20" t="inlineStr">
        <is>
          <t>✓ Uyğundur</t>
        </is>
      </c>
      <c r="K8" s="20" t="inlineStr">
        <is>
          <t>✓ Uyğundur</t>
        </is>
      </c>
      <c r="L8" s="20" t="inlineStr">
        <is>
          <t>✓ Uyğundur</t>
        </is>
      </c>
      <c r="M8" s="20" t="inlineStr">
        <is>
          <t>✓ Uyğundur</t>
        </is>
      </c>
      <c r="N8" s="20" t="inlineStr">
        <is>
          <t>✓ Uyğundur</t>
        </is>
      </c>
    </row>
    <row r="9">
      <c r="A9" s="20" t="n">
        <v>5</v>
      </c>
      <c r="B9" s="20" t="inlineStr">
        <is>
          <t>Əliyev</t>
        </is>
      </c>
      <c r="C9" s="20" t="inlineStr">
        <is>
          <t>Vüsal</t>
        </is>
      </c>
      <c r="D9" s="20" t="inlineStr">
        <is>
          <t>Nizami</t>
        </is>
      </c>
      <c r="E9" s="21">
        <f>B9&amp;" "&amp;C9&amp;" "&amp;D9&amp;" oğlu"</f>
        <v/>
      </c>
      <c r="F9" s="20" t="inlineStr">
        <is>
          <t>Əliyev Vüsal Nizami oğlu</t>
        </is>
      </c>
      <c r="G9" s="20" t="inlineStr">
        <is>
          <t>Kapitan</t>
        </is>
      </c>
      <c r="H9" s="20" t="inlineStr">
        <is>
          <t>Aktiv</t>
        </is>
      </c>
      <c r="I9" s="20" t="inlineStr">
        <is>
          <t>✓ Uyğundur</t>
        </is>
      </c>
      <c r="J9" s="20" t="inlineStr">
        <is>
          <t>✓ Uyğundur</t>
        </is>
      </c>
      <c r="K9" s="20" t="inlineStr">
        <is>
          <t>✓ Uyğundur</t>
        </is>
      </c>
      <c r="L9" s="20" t="inlineStr">
        <is>
          <t>✓ Uyğundur</t>
        </is>
      </c>
      <c r="M9" s="20" t="inlineStr">
        <is>
          <t>✓ Uyğundur</t>
        </is>
      </c>
      <c r="N9" s="20" t="inlineStr">
        <is>
          <t>✓ Uyğundur</t>
        </is>
      </c>
    </row>
    <row r="10">
      <c r="A10" s="20" t="n">
        <v>6</v>
      </c>
      <c r="B10" s="20" t="inlineStr">
        <is>
          <t>Rzayev</t>
        </is>
      </c>
      <c r="C10" s="20" t="inlineStr">
        <is>
          <t>Orxan</t>
        </is>
      </c>
      <c r="D10" s="20" t="inlineStr">
        <is>
          <t>Eldar</t>
        </is>
      </c>
      <c r="E10" s="21">
        <f>B10&amp;" "&amp;C10&amp;" "&amp;D10&amp;" oğlu"</f>
        <v/>
      </c>
      <c r="F10" s="20" t="inlineStr">
        <is>
          <t>Rzayev Orxan Eldar oğlu</t>
        </is>
      </c>
      <c r="G10" s="20" t="inlineStr">
        <is>
          <t>Leytenant</t>
        </is>
      </c>
      <c r="H10" s="20" t="inlineStr">
        <is>
          <t>Aktiv</t>
        </is>
      </c>
      <c r="I10" s="20" t="inlineStr">
        <is>
          <t>✓ Uyğundur</t>
        </is>
      </c>
      <c r="J10" s="20" t="inlineStr">
        <is>
          <t>✓ Uyğundur</t>
        </is>
      </c>
      <c r="K10" s="20" t="inlineStr">
        <is>
          <t>✓ Uyğundur</t>
        </is>
      </c>
      <c r="L10" s="20" t="inlineStr">
        <is>
          <t>✓ Uyğundur</t>
        </is>
      </c>
      <c r="M10" s="20" t="inlineStr">
        <is>
          <t>✓ Uyğundur</t>
        </is>
      </c>
      <c r="N10" s="20" t="inlineStr">
        <is>
          <t>✓ Uyğundur</t>
        </is>
      </c>
    </row>
    <row r="11">
      <c r="A11" s="20" t="n">
        <v>7</v>
      </c>
      <c r="B11" s="20" t="inlineStr">
        <is>
          <t>Səlimova</t>
        </is>
      </c>
      <c r="C11" s="20" t="inlineStr">
        <is>
          <t>Nərgiz</t>
        </is>
      </c>
      <c r="D11" s="20" t="inlineStr">
        <is>
          <t>Rafiq</t>
        </is>
      </c>
      <c r="E11" s="21">
        <f>B11&amp;" "&amp;C11&amp;" "&amp;D11&amp;" oğlu"</f>
        <v/>
      </c>
      <c r="F11" s="20" t="inlineStr">
        <is>
          <t>Səlimova Nərgiz Rafiq qızı</t>
        </is>
      </c>
      <c r="G11" s="20" t="inlineStr">
        <is>
          <t>Leytenant</t>
        </is>
      </c>
      <c r="H11" s="20" t="inlineStr">
        <is>
          <t>Aktiv</t>
        </is>
      </c>
      <c r="I11" s="20" t="inlineStr">
        <is>
          <t>✓ Uyğundur</t>
        </is>
      </c>
      <c r="J11" s="20" t="inlineStr">
        <is>
          <t>✓ Uyğundur</t>
        </is>
      </c>
      <c r="K11" s="20" t="inlineStr">
        <is>
          <t>✓ Uyğundur</t>
        </is>
      </c>
      <c r="L11" s="20" t="inlineStr">
        <is>
          <t>✓ Uyğundur</t>
        </is>
      </c>
      <c r="M11" s="20" t="inlineStr">
        <is>
          <t>✓ Uyğundur</t>
        </is>
      </c>
      <c r="N11" s="20" t="inlineStr">
        <is>
          <t>✓ Uyğundur</t>
        </is>
      </c>
    </row>
    <row r="12">
      <c r="A12" s="20" t="n">
        <v>8</v>
      </c>
      <c r="B12" s="20" t="inlineStr">
        <is>
          <t>Məhərrəmov</t>
        </is>
      </c>
      <c r="C12" s="20" t="inlineStr">
        <is>
          <t>Fərid</t>
        </is>
      </c>
      <c r="D12" s="20" t="inlineStr">
        <is>
          <t>Asif</t>
        </is>
      </c>
      <c r="E12" s="21">
        <f>B12&amp;" "&amp;C12&amp;" "&amp;D12&amp;" oğlu"</f>
        <v/>
      </c>
      <c r="F12" s="20" t="inlineStr">
        <is>
          <t>Məhərrəmov Fərid Asif oğlu</t>
        </is>
      </c>
      <c r="G12" s="20" t="inlineStr">
        <is>
          <t>Kapitan</t>
        </is>
      </c>
      <c r="H12" s="20" t="inlineStr">
        <is>
          <t>Aktiv deyil</t>
        </is>
      </c>
      <c r="I12" s="20" t="inlineStr">
        <is>
          <t>✓ Uyğundur</t>
        </is>
      </c>
      <c r="J12" s="20" t="inlineStr">
        <is>
          <t>✓ Uyğundur</t>
        </is>
      </c>
      <c r="K12" s="20" t="inlineStr">
        <is>
          <t>✓ Uyğundur</t>
        </is>
      </c>
      <c r="L12" s="20" t="inlineStr">
        <is>
          <t>✓ Uyğundur</t>
        </is>
      </c>
      <c r="M12" s="20" t="inlineStr">
        <is>
          <t>✓ Uyğundur</t>
        </is>
      </c>
      <c r="N12" s="20" t="inlineStr">
        <is>
          <t>✓ Uyğundur</t>
        </is>
      </c>
    </row>
    <row r="13">
      <c r="A13" s="22" t="n"/>
      <c r="B13" s="22" t="n"/>
      <c r="C13" s="22" t="n"/>
      <c r="D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</row>
    <row r="14">
      <c r="A14" s="22" t="n"/>
      <c r="B14" s="22" t="n"/>
      <c r="C14" s="22" t="n"/>
      <c r="D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</row>
    <row r="15">
      <c r="A15" s="22" t="n"/>
      <c r="B15" s="22" t="n"/>
      <c r="C15" s="22" t="n"/>
      <c r="D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</row>
    <row r="16">
      <c r="A16" s="22" t="n"/>
      <c r="B16" s="22" t="n"/>
      <c r="C16" s="22" t="n"/>
      <c r="D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</row>
    <row r="17">
      <c r="A17" s="22" t="n"/>
      <c r="B17" s="22" t="n"/>
      <c r="C17" s="22" t="n"/>
      <c r="D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</row>
    <row r="18">
      <c r="A18" s="22" t="n"/>
      <c r="B18" s="22" t="n"/>
      <c r="C18" s="22" t="n"/>
      <c r="D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</row>
    <row r="19">
      <c r="A19" s="22" t="n"/>
      <c r="B19" s="22" t="n"/>
      <c r="C19" s="22" t="n"/>
      <c r="D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</row>
    <row r="20">
      <c r="A20" s="22" t="n"/>
      <c r="B20" s="22" t="n"/>
      <c r="C20" s="22" t="n"/>
      <c r="D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</row>
    <row r="21">
      <c r="A21" s="22" t="n"/>
      <c r="B21" s="22" t="n"/>
      <c r="C21" s="22" t="n"/>
      <c r="D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</row>
    <row r="22">
      <c r="A22" s="22" t="n"/>
      <c r="B22" s="22" t="n"/>
      <c r="C22" s="22" t="n"/>
      <c r="D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</row>
    <row r="23">
      <c r="A23" s="22" t="n"/>
      <c r="B23" s="22" t="n"/>
      <c r="C23" s="22" t="n"/>
      <c r="D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</row>
    <row r="24">
      <c r="A24" s="22" t="n"/>
      <c r="B24" s="22" t="n"/>
      <c r="C24" s="22" t="n"/>
      <c r="D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</row>
    <row r="25">
      <c r="A25" s="22" t="n"/>
      <c r="B25" s="22" t="n"/>
      <c r="C25" s="22" t="n"/>
      <c r="D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>
      <c r="A26" s="22" t="n"/>
      <c r="B26" s="22" t="n"/>
      <c r="C26" s="22" t="n"/>
      <c r="D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</row>
    <row r="27">
      <c r="A27" s="22" t="n"/>
      <c r="B27" s="22" t="n"/>
      <c r="C27" s="22" t="n"/>
      <c r="D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>
      <c r="A28" s="22" t="n"/>
      <c r="B28" s="22" t="n"/>
      <c r="C28" s="22" t="n"/>
      <c r="D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</row>
    <row r="29">
      <c r="A29" s="22" t="n"/>
      <c r="B29" s="22" t="n"/>
      <c r="C29" s="22" t="n"/>
      <c r="D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</row>
    <row r="30">
      <c r="A30" s="22" t="n"/>
      <c r="B30" s="22" t="n"/>
      <c r="C30" s="22" t="n"/>
      <c r="D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</row>
    <row r="31">
      <c r="A31" s="22" t="n"/>
      <c r="B31" s="22" t="n"/>
      <c r="C31" s="22" t="n"/>
      <c r="D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</row>
    <row r="32">
      <c r="A32" s="22" t="n"/>
      <c r="B32" s="22" t="n"/>
      <c r="C32" s="22" t="n"/>
      <c r="D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</row>
    <row r="33">
      <c r="A33" s="22" t="n"/>
      <c r="B33" s="22" t="n"/>
      <c r="C33" s="22" t="n"/>
      <c r="D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</row>
    <row r="34">
      <c r="A34" s="22" t="n"/>
      <c r="B34" s="22" t="n"/>
      <c r="C34" s="22" t="n"/>
      <c r="D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</row>
    <row r="35">
      <c r="A35" s="22" t="n"/>
      <c r="B35" s="22" t="n"/>
      <c r="C35" s="22" t="n"/>
      <c r="D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>
      <c r="A36" s="22" t="n"/>
      <c r="B36" s="22" t="n"/>
      <c r="C36" s="22" t="n"/>
      <c r="D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</row>
    <row r="37">
      <c r="A37" s="22" t="n"/>
      <c r="B37" s="22" t="n"/>
      <c r="C37" s="22" t="n"/>
      <c r="D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</row>
    <row r="38">
      <c r="A38" s="22" t="n"/>
      <c r="B38" s="22" t="n"/>
      <c r="C38" s="22" t="n"/>
      <c r="D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</row>
    <row r="39">
      <c r="A39" s="22" t="n"/>
      <c r="B39" s="22" t="n"/>
      <c r="C39" s="22" t="n"/>
      <c r="D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>
      <c r="A40" s="22" t="n"/>
      <c r="B40" s="22" t="n"/>
      <c r="C40" s="22" t="n"/>
      <c r="D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</row>
    <row r="41">
      <c r="A41" s="22" t="n"/>
      <c r="B41" s="22" t="n"/>
      <c r="C41" s="22" t="n"/>
      <c r="D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</row>
    <row r="42">
      <c r="A42" s="22" t="n"/>
      <c r="B42" s="22" t="n"/>
      <c r="C42" s="22" t="n"/>
      <c r="D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</row>
    <row r="43">
      <c r="A43" s="22" t="n"/>
      <c r="B43" s="22" t="n"/>
      <c r="C43" s="22" t="n"/>
      <c r="D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</row>
    <row r="44">
      <c r="A44" s="22" t="n"/>
      <c r="B44" s="22" t="n"/>
      <c r="C44" s="22" t="n"/>
      <c r="D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</row>
    <row r="45">
      <c r="A45" s="22" t="n"/>
      <c r="B45" s="22" t="n"/>
      <c r="C45" s="22" t="n"/>
      <c r="D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</row>
    <row r="46">
      <c r="A46" s="22" t="n"/>
      <c r="B46" s="22" t="n"/>
      <c r="C46" s="22" t="n"/>
      <c r="D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</row>
    <row r="47">
      <c r="A47" s="22" t="n"/>
      <c r="B47" s="22" t="n"/>
      <c r="C47" s="22" t="n"/>
      <c r="D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</row>
    <row r="48">
      <c r="A48" s="22" t="n"/>
      <c r="B48" s="22" t="n"/>
      <c r="C48" s="22" t="n"/>
      <c r="D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</row>
    <row r="49">
      <c r="A49" s="22" t="n"/>
      <c r="B49" s="22" t="n"/>
      <c r="C49" s="22" t="n"/>
      <c r="D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</row>
    <row r="50">
      <c r="A50" s="22" t="n"/>
      <c r="B50" s="22" t="n"/>
      <c r="C50" s="22" t="n"/>
      <c r="D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>
      <c r="A51" s="22" t="n"/>
      <c r="B51" s="22" t="n"/>
      <c r="C51" s="22" t="n"/>
      <c r="D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</row>
    <row r="52">
      <c r="A52" s="22" t="n"/>
      <c r="B52" s="22" t="n"/>
      <c r="C52" s="22" t="n"/>
      <c r="D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</row>
    <row r="53">
      <c r="A53" s="22" t="n"/>
      <c r="B53" s="22" t="n"/>
      <c r="C53" s="22" t="n"/>
      <c r="D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</row>
    <row r="54">
      <c r="A54" s="22" t="n"/>
      <c r="B54" s="22" t="n"/>
      <c r="C54" s="22" t="n"/>
      <c r="D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</row>
    <row r="55">
      <c r="A55" s="22" t="n"/>
      <c r="B55" s="22" t="n"/>
      <c r="C55" s="22" t="n"/>
      <c r="D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</row>
    <row r="56">
      <c r="A56" s="22" t="n"/>
      <c r="B56" s="22" t="n"/>
      <c r="C56" s="22" t="n"/>
      <c r="D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</row>
    <row r="57">
      <c r="A57" s="22" t="n"/>
      <c r="B57" s="22" t="n"/>
      <c r="C57" s="22" t="n"/>
      <c r="D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>
      <c r="A58" s="22" t="n"/>
      <c r="B58" s="22" t="n"/>
      <c r="C58" s="22" t="n"/>
      <c r="D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</row>
    <row r="59">
      <c r="A59" s="22" t="n"/>
      <c r="B59" s="22" t="n"/>
      <c r="C59" s="22" t="n"/>
      <c r="D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</row>
    <row r="60">
      <c r="A60" s="22" t="n"/>
      <c r="B60" s="22" t="n"/>
      <c r="C60" s="22" t="n"/>
      <c r="D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</row>
    <row r="61">
      <c r="A61" s="22" t="n"/>
      <c r="B61" s="22" t="n"/>
      <c r="C61" s="22" t="n"/>
      <c r="D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</row>
    <row r="62">
      <c r="A62" s="22" t="n"/>
      <c r="B62" s="22" t="n"/>
      <c r="C62" s="22" t="n"/>
      <c r="D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</row>
    <row r="63">
      <c r="A63" s="22" t="n"/>
      <c r="B63" s="22" t="n"/>
      <c r="C63" s="22" t="n"/>
      <c r="D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</row>
    <row r="64">
      <c r="A64" s="22" t="n"/>
      <c r="B64" s="22" t="n"/>
      <c r="C64" s="22" t="n"/>
      <c r="D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>
      <c r="A65" s="22" t="n"/>
      <c r="B65" s="22" t="n"/>
      <c r="C65" s="22" t="n"/>
      <c r="D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</row>
    <row r="66">
      <c r="A66" s="22" t="n"/>
      <c r="B66" s="22" t="n"/>
      <c r="C66" s="22" t="n"/>
      <c r="D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</row>
    <row r="67">
      <c r="A67" s="22" t="n"/>
      <c r="B67" s="22" t="n"/>
      <c r="C67" s="22" t="n"/>
      <c r="D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</row>
    <row r="68">
      <c r="A68" s="22" t="n"/>
      <c r="B68" s="22" t="n"/>
      <c r="C68" s="22" t="n"/>
      <c r="D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</row>
    <row r="69">
      <c r="A69" s="22" t="n"/>
      <c r="B69" s="22" t="n"/>
      <c r="C69" s="22" t="n"/>
      <c r="D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</row>
    <row r="70">
      <c r="A70" s="22" t="n"/>
      <c r="B70" s="22" t="n"/>
      <c r="C70" s="22" t="n"/>
      <c r="D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</row>
    <row r="71">
      <c r="A71" s="22" t="n"/>
      <c r="B71" s="22" t="n"/>
      <c r="C71" s="22" t="n"/>
      <c r="D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</row>
    <row r="72">
      <c r="A72" s="22" t="n"/>
      <c r="B72" s="22" t="n"/>
      <c r="C72" s="22" t="n"/>
      <c r="D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</row>
    <row r="73">
      <c r="A73" s="22" t="n"/>
      <c r="B73" s="22" t="n"/>
      <c r="C73" s="22" t="n"/>
      <c r="D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>
      <c r="A74" s="22" t="n"/>
      <c r="B74" s="22" t="n"/>
      <c r="C74" s="22" t="n"/>
      <c r="D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</row>
    <row r="75">
      <c r="A75" s="22" t="n"/>
      <c r="B75" s="22" t="n"/>
      <c r="C75" s="22" t="n"/>
      <c r="D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</row>
    <row r="76">
      <c r="A76" s="22" t="n"/>
      <c r="B76" s="22" t="n"/>
      <c r="C76" s="22" t="n"/>
      <c r="D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</row>
    <row r="77">
      <c r="A77" s="22" t="n"/>
      <c r="B77" s="22" t="n"/>
      <c r="C77" s="22" t="n"/>
      <c r="D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</row>
    <row r="78">
      <c r="A78" s="22" t="n"/>
      <c r="B78" s="22" t="n"/>
      <c r="C78" s="22" t="n"/>
      <c r="D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</row>
    <row r="79">
      <c r="A79" s="22" t="n"/>
      <c r="B79" s="22" t="n"/>
      <c r="C79" s="22" t="n"/>
      <c r="D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>
      <c r="A80" s="22" t="n"/>
      <c r="B80" s="22" t="n"/>
      <c r="C80" s="22" t="n"/>
      <c r="D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</row>
    <row r="81">
      <c r="A81" s="22" t="n"/>
      <c r="B81" s="22" t="n"/>
      <c r="C81" s="22" t="n"/>
      <c r="D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</row>
    <row r="82">
      <c r="A82" s="22" t="n"/>
      <c r="B82" s="22" t="n"/>
      <c r="C82" s="22" t="n"/>
      <c r="D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</row>
    <row r="83">
      <c r="A83" s="22" t="n"/>
      <c r="B83" s="22" t="n"/>
      <c r="C83" s="22" t="n"/>
      <c r="D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</row>
    <row r="84">
      <c r="A84" s="22" t="n"/>
      <c r="B84" s="22" t="n"/>
      <c r="C84" s="22" t="n"/>
      <c r="D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</row>
    <row r="85">
      <c r="A85" s="22" t="n"/>
      <c r="B85" s="22" t="n"/>
      <c r="C85" s="22" t="n"/>
      <c r="D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</row>
    <row r="86">
      <c r="A86" s="22" t="n"/>
      <c r="B86" s="22" t="n"/>
      <c r="C86" s="22" t="n"/>
      <c r="D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</row>
    <row r="87">
      <c r="A87" s="22" t="n"/>
      <c r="B87" s="22" t="n"/>
      <c r="C87" s="22" t="n"/>
      <c r="D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</row>
    <row r="88">
      <c r="A88" s="22" t="n"/>
      <c r="B88" s="22" t="n"/>
      <c r="C88" s="22" t="n"/>
      <c r="D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</row>
    <row r="89">
      <c r="A89" s="22" t="n"/>
      <c r="B89" s="22" t="n"/>
      <c r="C89" s="22" t="n"/>
      <c r="D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</row>
    <row r="90">
      <c r="A90" s="22" t="n"/>
      <c r="B90" s="22" t="n"/>
      <c r="C90" s="22" t="n"/>
      <c r="D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</row>
    <row r="91">
      <c r="A91" s="22" t="n"/>
      <c r="B91" s="22" t="n"/>
      <c r="C91" s="22" t="n"/>
      <c r="D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</row>
    <row r="92">
      <c r="A92" s="22" t="n"/>
      <c r="B92" s="22" t="n"/>
      <c r="C92" s="22" t="n"/>
      <c r="D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</row>
    <row r="93">
      <c r="A93" s="22" t="n"/>
      <c r="B93" s="22" t="n"/>
      <c r="C93" s="22" t="n"/>
      <c r="D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</row>
    <row r="94">
      <c r="A94" s="22" t="n"/>
      <c r="B94" s="22" t="n"/>
      <c r="C94" s="22" t="n"/>
      <c r="D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</row>
    <row r="95">
      <c r="A95" s="22" t="n"/>
      <c r="B95" s="22" t="n"/>
      <c r="C95" s="22" t="n"/>
      <c r="D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>
      <c r="A96" s="22" t="n"/>
      <c r="B96" s="22" t="n"/>
      <c r="C96" s="22" t="n"/>
      <c r="D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</row>
    <row r="97">
      <c r="A97" s="22" t="n"/>
      <c r="B97" s="22" t="n"/>
      <c r="C97" s="22" t="n"/>
      <c r="D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</row>
    <row r="98">
      <c r="A98" s="22" t="n"/>
      <c r="B98" s="22" t="n"/>
      <c r="C98" s="22" t="n"/>
      <c r="D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</row>
    <row r="99">
      <c r="A99" s="22" t="n"/>
      <c r="B99" s="22" t="n"/>
      <c r="C99" s="22" t="n"/>
      <c r="D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53"/>
  <autoFilter ref="A4:N12"/>
  <mergeCells count="2">
    <mergeCell ref="A2:H2"/>
    <mergeCell ref="A1:H1"/>
  </mergeCells>
  <dataValidations count="2">
    <dataValidation sqref="G5:G12" showDropDown="0" showInputMessage="0" showErrorMessage="0" allowBlank="1" type="list">
      <formula1>"Aktiv,Aktiv deyil"</formula1>
    </dataValidation>
    <dataValidation sqref="I5:I12 J5:J12 K5:K12 L5:L12 M5:M12 N5:N12" showDropDown="0" showInputMessage="0" showErrorMessage="0" allowBlank="1" type="list">
      <formula1>"✓ Uyğundur,✗ Uyğun deyil"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0" customWidth="1" min="4" max="4"/>
    <col width="15" customWidth="1" min="5" max="5"/>
    <col width="25" customWidth="1" min="6" max="6"/>
  </cols>
  <sheetData>
    <row r="1">
      <c r="A1" s="9" t="inlineStr">
        <is>
          <t>YOXDUR / MƏZUNİYYƏT MƏLUMATLARI</t>
        </is>
      </c>
    </row>
    <row r="2">
      <c r="A2" s="10" t="inlineStr">
        <is>
          <t>Bu vərəqdə şəxslərin yoxluqları qeyd olunur. Bitmə tarixi avtomatik hesablanır.</t>
        </is>
      </c>
    </row>
    <row r="3"/>
    <row r="4">
      <c r="A4" s="14" t="inlineStr">
        <is>
          <t>Şəxs</t>
        </is>
      </c>
      <c r="B4" s="14" t="inlineStr">
        <is>
          <t>Səbəb</t>
        </is>
      </c>
      <c r="C4" s="14" t="inlineStr">
        <is>
          <t>Başlanğıc tarixi</t>
        </is>
      </c>
      <c r="D4" s="14" t="inlineStr">
        <is>
          <t>Gün sayı</t>
        </is>
      </c>
      <c r="E4" s="14" t="inlineStr">
        <is>
          <t>Bitmə tarixi</t>
        </is>
      </c>
      <c r="F4" s="14" t="inlineStr">
        <is>
          <t>Qeyd</t>
        </is>
      </c>
    </row>
    <row r="5">
      <c r="A5" s="20" t="inlineStr">
        <is>
          <t>İbrahimov Rövşən Hüseyn oğlu</t>
        </is>
      </c>
      <c r="B5" s="20" t="inlineStr">
        <is>
          <t>Məzuniyyət</t>
        </is>
      </c>
      <c r="C5" s="23" t="inlineStr">
        <is>
          <t>10.09.2026</t>
        </is>
      </c>
      <c r="D5" s="24" t="n">
        <v>7</v>
      </c>
      <c r="E5" s="15">
        <f>C5+D5-1</f>
        <v/>
      </c>
      <c r="F5" s="20" t="inlineStr"/>
    </row>
    <row r="6">
      <c r="A6" s="20" t="inlineStr">
        <is>
          <t>Məmmədəliyev Elşən Cavad oğlu</t>
        </is>
      </c>
      <c r="B6" s="20" t="inlineStr">
        <is>
          <t>Xəstəlik</t>
        </is>
      </c>
      <c r="C6" s="23" t="inlineStr">
        <is>
          <t>15.09.2026</t>
        </is>
      </c>
      <c r="D6" s="24" t="n">
        <v>3</v>
      </c>
      <c r="E6" s="15">
        <f>C6+D6-1</f>
        <v/>
      </c>
      <c r="F6" s="20" t="inlineStr"/>
    </row>
    <row r="7">
      <c r="A7" s="20" t="inlineStr">
        <is>
          <t>Quliyeva Aytən Rövşən qızı</t>
        </is>
      </c>
      <c r="B7" s="20" t="inlineStr">
        <is>
          <t>Təlim</t>
        </is>
      </c>
      <c r="C7" s="23" t="inlineStr">
        <is>
          <t>20.09.2026</t>
        </is>
      </c>
      <c r="D7" s="24" t="n">
        <v>5</v>
      </c>
      <c r="E7" s="15">
        <f>C7+D7-1</f>
        <v/>
      </c>
      <c r="F7" s="20" t="inlineStr"/>
    </row>
    <row r="8">
      <c r="A8" s="22" t="n"/>
      <c r="B8" s="22" t="n"/>
      <c r="C8" s="22" t="n"/>
      <c r="D8" s="22" t="n"/>
      <c r="F8" s="22" t="n"/>
    </row>
    <row r="9">
      <c r="A9" s="22" t="n"/>
      <c r="B9" s="22" t="n"/>
      <c r="C9" s="22" t="n"/>
      <c r="D9" s="22" t="n"/>
      <c r="F9" s="22" t="n"/>
    </row>
    <row r="10">
      <c r="A10" s="22" t="n"/>
      <c r="B10" s="22" t="n"/>
      <c r="C10" s="22" t="n"/>
      <c r="D10" s="22" t="n"/>
      <c r="F10" s="22" t="n"/>
    </row>
    <row r="11">
      <c r="A11" s="22" t="n"/>
      <c r="B11" s="22" t="n"/>
      <c r="C11" s="22" t="n"/>
      <c r="D11" s="22" t="n"/>
      <c r="F11" s="22" t="n"/>
    </row>
    <row r="12">
      <c r="A12" s="22" t="n"/>
      <c r="B12" s="22" t="n"/>
      <c r="C12" s="22" t="n"/>
      <c r="D12" s="22" t="n"/>
      <c r="F12" s="22" t="n"/>
    </row>
    <row r="13">
      <c r="A13" s="22" t="n"/>
      <c r="B13" s="22" t="n"/>
      <c r="C13" s="22" t="n"/>
      <c r="D13" s="22" t="n"/>
      <c r="F13" s="22" t="n"/>
    </row>
    <row r="14">
      <c r="A14" s="22" t="n"/>
      <c r="B14" s="22" t="n"/>
      <c r="C14" s="22" t="n"/>
      <c r="D14" s="22" t="n"/>
      <c r="F14" s="22" t="n"/>
    </row>
    <row r="15">
      <c r="A15" s="22" t="n"/>
      <c r="B15" s="22" t="n"/>
      <c r="C15" s="22" t="n"/>
      <c r="D15" s="22" t="n"/>
      <c r="F15" s="22" t="n"/>
    </row>
    <row r="16">
      <c r="A16" s="22" t="n"/>
      <c r="B16" s="22" t="n"/>
      <c r="C16" s="22" t="n"/>
      <c r="D16" s="22" t="n"/>
      <c r="F16" s="22" t="n"/>
    </row>
    <row r="17">
      <c r="A17" s="22" t="n"/>
      <c r="B17" s="22" t="n"/>
      <c r="C17" s="22" t="n"/>
      <c r="D17" s="22" t="n"/>
      <c r="F17" s="22" t="n"/>
    </row>
    <row r="18">
      <c r="A18" s="22" t="n"/>
      <c r="B18" s="22" t="n"/>
      <c r="C18" s="22" t="n"/>
      <c r="D18" s="22" t="n"/>
      <c r="F18" s="22" t="n"/>
    </row>
    <row r="19">
      <c r="A19" s="22" t="n"/>
      <c r="B19" s="22" t="n"/>
      <c r="C19" s="22" t="n"/>
      <c r="D19" s="22" t="n"/>
      <c r="F19" s="22" t="n"/>
    </row>
    <row r="20">
      <c r="A20" s="22" t="n"/>
      <c r="B20" s="22" t="n"/>
      <c r="C20" s="22" t="n"/>
      <c r="D20" s="22" t="n"/>
      <c r="F20" s="22" t="n"/>
    </row>
    <row r="21">
      <c r="A21" s="22" t="n"/>
      <c r="B21" s="22" t="n"/>
      <c r="C21" s="22" t="n"/>
      <c r="D21" s="22" t="n"/>
      <c r="F21" s="22" t="n"/>
    </row>
    <row r="22">
      <c r="A22" s="22" t="n"/>
      <c r="B22" s="22" t="n"/>
      <c r="C22" s="22" t="n"/>
      <c r="D22" s="22" t="n"/>
      <c r="F22" s="22" t="n"/>
    </row>
    <row r="23">
      <c r="A23" s="22" t="n"/>
      <c r="B23" s="22" t="n"/>
      <c r="C23" s="22" t="n"/>
      <c r="D23" s="22" t="n"/>
      <c r="F23" s="22" t="n"/>
    </row>
    <row r="24">
      <c r="A24" s="22" t="n"/>
      <c r="B24" s="22" t="n"/>
      <c r="C24" s="22" t="n"/>
      <c r="D24" s="22" t="n"/>
      <c r="F24" s="22" t="n"/>
    </row>
    <row r="25">
      <c r="A25" s="22" t="n"/>
      <c r="B25" s="22" t="n"/>
      <c r="C25" s="22" t="n"/>
      <c r="D25" s="22" t="n"/>
      <c r="F25" s="22" t="n"/>
    </row>
    <row r="26">
      <c r="A26" s="22" t="n"/>
      <c r="B26" s="22" t="n"/>
      <c r="C26" s="22" t="n"/>
      <c r="D26" s="22" t="n"/>
      <c r="F26" s="22" t="n"/>
    </row>
    <row r="27">
      <c r="A27" s="22" t="n"/>
      <c r="B27" s="22" t="n"/>
      <c r="C27" s="22" t="n"/>
      <c r="D27" s="22" t="n"/>
      <c r="F27" s="22" t="n"/>
    </row>
    <row r="28">
      <c r="A28" s="22" t="n"/>
      <c r="B28" s="22" t="n"/>
      <c r="C28" s="22" t="n"/>
      <c r="D28" s="22" t="n"/>
      <c r="F28" s="22" t="n"/>
    </row>
    <row r="29">
      <c r="A29" s="22" t="n"/>
      <c r="B29" s="22" t="n"/>
      <c r="C29" s="22" t="n"/>
      <c r="D29" s="22" t="n"/>
      <c r="F29" s="22" t="n"/>
    </row>
    <row r="30">
      <c r="A30" s="22" t="n"/>
      <c r="B30" s="22" t="n"/>
      <c r="C30" s="22" t="n"/>
      <c r="D30" s="22" t="n"/>
      <c r="F30" s="22" t="n"/>
    </row>
    <row r="31">
      <c r="A31" s="22" t="n"/>
      <c r="B31" s="22" t="n"/>
      <c r="C31" s="22" t="n"/>
      <c r="D31" s="22" t="n"/>
      <c r="F31" s="22" t="n"/>
    </row>
    <row r="32">
      <c r="A32" s="22" t="n"/>
      <c r="B32" s="22" t="n"/>
      <c r="C32" s="22" t="n"/>
      <c r="D32" s="22" t="n"/>
      <c r="F32" s="22" t="n"/>
    </row>
    <row r="33">
      <c r="A33" s="22" t="n"/>
      <c r="B33" s="22" t="n"/>
      <c r="C33" s="22" t="n"/>
      <c r="D33" s="22" t="n"/>
      <c r="F33" s="22" t="n"/>
    </row>
    <row r="34">
      <c r="A34" s="22" t="n"/>
      <c r="B34" s="22" t="n"/>
      <c r="C34" s="22" t="n"/>
      <c r="D34" s="22" t="n"/>
      <c r="F34" s="22" t="n"/>
    </row>
    <row r="35">
      <c r="A35" s="22" t="n"/>
      <c r="B35" s="22" t="n"/>
      <c r="C35" s="22" t="n"/>
      <c r="D35" s="22" t="n"/>
      <c r="F35" s="22" t="n"/>
    </row>
    <row r="36">
      <c r="A36" s="22" t="n"/>
      <c r="B36" s="22" t="n"/>
      <c r="C36" s="22" t="n"/>
      <c r="D36" s="22" t="n"/>
      <c r="F36" s="22" t="n"/>
    </row>
    <row r="37">
      <c r="A37" s="22" t="n"/>
      <c r="B37" s="22" t="n"/>
      <c r="C37" s="22" t="n"/>
      <c r="D37" s="22" t="n"/>
      <c r="F37" s="22" t="n"/>
    </row>
    <row r="38">
      <c r="A38" s="22" t="n"/>
      <c r="B38" s="22" t="n"/>
      <c r="C38" s="22" t="n"/>
      <c r="D38" s="22" t="n"/>
      <c r="F38" s="22" t="n"/>
    </row>
    <row r="39">
      <c r="A39" s="22" t="n"/>
      <c r="B39" s="22" t="n"/>
      <c r="C39" s="22" t="n"/>
      <c r="D39" s="22" t="n"/>
      <c r="F39" s="22" t="n"/>
    </row>
    <row r="40">
      <c r="A40" s="22" t="n"/>
      <c r="B40" s="22" t="n"/>
      <c r="C40" s="22" t="n"/>
      <c r="D40" s="22" t="n"/>
      <c r="F40" s="22" t="n"/>
    </row>
    <row r="41">
      <c r="A41" s="22" t="n"/>
      <c r="B41" s="22" t="n"/>
      <c r="C41" s="22" t="n"/>
      <c r="D41" s="22" t="n"/>
      <c r="F41" s="22" t="n"/>
    </row>
    <row r="42">
      <c r="A42" s="22" t="n"/>
      <c r="B42" s="22" t="n"/>
      <c r="C42" s="22" t="n"/>
      <c r="D42" s="22" t="n"/>
      <c r="F42" s="22" t="n"/>
    </row>
    <row r="43">
      <c r="A43" s="22" t="n"/>
      <c r="B43" s="22" t="n"/>
      <c r="C43" s="22" t="n"/>
      <c r="D43" s="22" t="n"/>
      <c r="F43" s="22" t="n"/>
    </row>
    <row r="44">
      <c r="A44" s="22" t="n"/>
      <c r="B44" s="22" t="n"/>
      <c r="C44" s="22" t="n"/>
      <c r="D44" s="22" t="n"/>
      <c r="F44" s="22" t="n"/>
    </row>
    <row r="45">
      <c r="A45" s="22" t="n"/>
      <c r="B45" s="22" t="n"/>
      <c r="C45" s="22" t="n"/>
      <c r="D45" s="22" t="n"/>
      <c r="F45" s="22" t="n"/>
    </row>
    <row r="46">
      <c r="A46" s="22" t="n"/>
      <c r="B46" s="22" t="n"/>
      <c r="C46" s="22" t="n"/>
      <c r="D46" s="22" t="n"/>
      <c r="F46" s="22" t="n"/>
    </row>
    <row r="47">
      <c r="A47" s="22" t="n"/>
      <c r="B47" s="22" t="n"/>
      <c r="C47" s="22" t="n"/>
      <c r="D47" s="22" t="n"/>
      <c r="F47" s="22" t="n"/>
    </row>
    <row r="48">
      <c r="A48" s="22" t="n"/>
      <c r="B48" s="22" t="n"/>
      <c r="C48" s="22" t="n"/>
      <c r="D48" s="22" t="n"/>
      <c r="F48" s="22" t="n"/>
    </row>
    <row r="49">
      <c r="A49" s="22" t="n"/>
      <c r="B49" s="22" t="n"/>
      <c r="C49" s="22" t="n"/>
      <c r="D49" s="22" t="n"/>
      <c r="F49" s="22" t="n"/>
    </row>
    <row r="50">
      <c r="A50" s="22" t="n"/>
      <c r="B50" s="22" t="n"/>
      <c r="C50" s="22" t="n"/>
      <c r="D50" s="22" t="n"/>
      <c r="F50" s="22" t="n"/>
    </row>
    <row r="51">
      <c r="A51" s="22" t="n"/>
      <c r="B51" s="22" t="n"/>
      <c r="C51" s="22" t="n"/>
      <c r="D51" s="22" t="n"/>
      <c r="F51" s="22" t="n"/>
    </row>
    <row r="52">
      <c r="A52" s="22" t="n"/>
      <c r="B52" s="22" t="n"/>
      <c r="C52" s="22" t="n"/>
      <c r="D52" s="22" t="n"/>
      <c r="F52" s="22" t="n"/>
    </row>
    <row r="53">
      <c r="A53" s="22" t="n"/>
      <c r="B53" s="22" t="n"/>
      <c r="C53" s="22" t="n"/>
      <c r="D53" s="22" t="n"/>
      <c r="F53" s="22" t="n"/>
    </row>
    <row r="54">
      <c r="A54" s="22" t="n"/>
      <c r="B54" s="22" t="n"/>
      <c r="C54" s="22" t="n"/>
      <c r="D54" s="22" t="n"/>
      <c r="F54" s="22" t="n"/>
    </row>
    <row r="55">
      <c r="A55" s="22" t="n"/>
      <c r="B55" s="22" t="n"/>
      <c r="C55" s="22" t="n"/>
      <c r="D55" s="22" t="n"/>
      <c r="F55" s="22" t="n"/>
    </row>
    <row r="56">
      <c r="A56" s="22" t="n"/>
      <c r="B56" s="22" t="n"/>
      <c r="C56" s="22" t="n"/>
      <c r="D56" s="22" t="n"/>
      <c r="F56" s="22" t="n"/>
    </row>
    <row r="57">
      <c r="A57" s="22" t="n"/>
      <c r="B57" s="22" t="n"/>
      <c r="C57" s="22" t="n"/>
      <c r="D57" s="22" t="n"/>
      <c r="F57" s="22" t="n"/>
    </row>
    <row r="58">
      <c r="A58" s="22" t="n"/>
      <c r="B58" s="22" t="n"/>
      <c r="C58" s="22" t="n"/>
      <c r="D58" s="22" t="n"/>
      <c r="F58" s="22" t="n"/>
    </row>
    <row r="59">
      <c r="A59" s="22" t="n"/>
      <c r="B59" s="22" t="n"/>
      <c r="C59" s="22" t="n"/>
      <c r="D59" s="22" t="n"/>
      <c r="F59" s="22" t="n"/>
    </row>
    <row r="60">
      <c r="A60" s="22" t="n"/>
      <c r="B60" s="22" t="n"/>
      <c r="C60" s="22" t="n"/>
      <c r="D60" s="22" t="n"/>
      <c r="F60" s="22" t="n"/>
    </row>
    <row r="61">
      <c r="A61" s="22" t="n"/>
      <c r="B61" s="22" t="n"/>
      <c r="C61" s="22" t="n"/>
      <c r="D61" s="22" t="n"/>
      <c r="F61" s="22" t="n"/>
    </row>
    <row r="62">
      <c r="A62" s="22" t="n"/>
      <c r="B62" s="22" t="n"/>
      <c r="C62" s="22" t="n"/>
      <c r="D62" s="22" t="n"/>
      <c r="F62" s="22" t="n"/>
    </row>
    <row r="63">
      <c r="A63" s="22" t="n"/>
      <c r="B63" s="22" t="n"/>
      <c r="C63" s="22" t="n"/>
      <c r="D63" s="22" t="n"/>
      <c r="F63" s="22" t="n"/>
    </row>
    <row r="64">
      <c r="A64" s="22" t="n"/>
      <c r="B64" s="22" t="n"/>
      <c r="C64" s="22" t="n"/>
      <c r="D64" s="22" t="n"/>
      <c r="F64" s="22" t="n"/>
    </row>
    <row r="65">
      <c r="A65" s="22" t="n"/>
      <c r="B65" s="22" t="n"/>
      <c r="C65" s="22" t="n"/>
      <c r="D65" s="22" t="n"/>
      <c r="F65" s="22" t="n"/>
    </row>
    <row r="66">
      <c r="A66" s="22" t="n"/>
      <c r="B66" s="22" t="n"/>
      <c r="C66" s="22" t="n"/>
      <c r="D66" s="22" t="n"/>
      <c r="F66" s="22" t="n"/>
    </row>
    <row r="67">
      <c r="A67" s="22" t="n"/>
      <c r="B67" s="22" t="n"/>
      <c r="C67" s="22" t="n"/>
      <c r="D67" s="22" t="n"/>
      <c r="F67" s="22" t="n"/>
    </row>
    <row r="68">
      <c r="A68" s="22" t="n"/>
      <c r="B68" s="22" t="n"/>
      <c r="C68" s="22" t="n"/>
      <c r="D68" s="22" t="n"/>
      <c r="F68" s="22" t="n"/>
    </row>
    <row r="69">
      <c r="A69" s="22" t="n"/>
      <c r="B69" s="22" t="n"/>
      <c r="C69" s="22" t="n"/>
      <c r="D69" s="22" t="n"/>
      <c r="F69" s="22" t="n"/>
    </row>
    <row r="70">
      <c r="A70" s="22" t="n"/>
      <c r="B70" s="22" t="n"/>
      <c r="C70" s="22" t="n"/>
      <c r="D70" s="22" t="n"/>
      <c r="F70" s="22" t="n"/>
    </row>
    <row r="71">
      <c r="A71" s="22" t="n"/>
      <c r="B71" s="22" t="n"/>
      <c r="C71" s="22" t="n"/>
      <c r="D71" s="22" t="n"/>
      <c r="F71" s="22" t="n"/>
    </row>
    <row r="72">
      <c r="A72" s="22" t="n"/>
      <c r="B72" s="22" t="n"/>
      <c r="C72" s="22" t="n"/>
      <c r="D72" s="22" t="n"/>
      <c r="F72" s="22" t="n"/>
    </row>
    <row r="73">
      <c r="A73" s="22" t="n"/>
      <c r="B73" s="22" t="n"/>
      <c r="C73" s="22" t="n"/>
      <c r="D73" s="22" t="n"/>
      <c r="F73" s="22" t="n"/>
    </row>
    <row r="74">
      <c r="A74" s="22" t="n"/>
      <c r="B74" s="22" t="n"/>
      <c r="C74" s="22" t="n"/>
      <c r="D74" s="22" t="n"/>
      <c r="F74" s="22" t="n"/>
    </row>
    <row r="75">
      <c r="A75" s="22" t="n"/>
      <c r="B75" s="22" t="n"/>
      <c r="C75" s="22" t="n"/>
      <c r="D75" s="22" t="n"/>
      <c r="F75" s="22" t="n"/>
    </row>
    <row r="76">
      <c r="A76" s="22" t="n"/>
      <c r="B76" s="22" t="n"/>
      <c r="C76" s="22" t="n"/>
      <c r="D76" s="22" t="n"/>
      <c r="F76" s="22" t="n"/>
    </row>
    <row r="77">
      <c r="A77" s="22" t="n"/>
      <c r="B77" s="22" t="n"/>
      <c r="C77" s="22" t="n"/>
      <c r="D77" s="22" t="n"/>
      <c r="F77" s="22" t="n"/>
    </row>
    <row r="78">
      <c r="A78" s="22" t="n"/>
      <c r="B78" s="22" t="n"/>
      <c r="C78" s="22" t="n"/>
      <c r="D78" s="22" t="n"/>
      <c r="F78" s="22" t="n"/>
    </row>
    <row r="79">
      <c r="A79" s="22" t="n"/>
      <c r="B79" s="22" t="n"/>
      <c r="C79" s="22" t="n"/>
      <c r="D79" s="22" t="n"/>
      <c r="F79" s="22" t="n"/>
    </row>
    <row r="80">
      <c r="A80" s="22" t="n"/>
      <c r="B80" s="22" t="n"/>
      <c r="C80" s="22" t="n"/>
      <c r="D80" s="22" t="n"/>
      <c r="F80" s="22" t="n"/>
    </row>
    <row r="81">
      <c r="A81" s="22" t="n"/>
      <c r="B81" s="22" t="n"/>
      <c r="C81" s="22" t="n"/>
      <c r="D81" s="22" t="n"/>
      <c r="F81" s="22" t="n"/>
    </row>
    <row r="82">
      <c r="A82" s="22" t="n"/>
      <c r="B82" s="22" t="n"/>
      <c r="C82" s="22" t="n"/>
      <c r="D82" s="22" t="n"/>
      <c r="F82" s="22" t="n"/>
    </row>
    <row r="83">
      <c r="A83" s="22" t="n"/>
      <c r="B83" s="22" t="n"/>
      <c r="C83" s="22" t="n"/>
      <c r="D83" s="22" t="n"/>
      <c r="F83" s="22" t="n"/>
    </row>
    <row r="84">
      <c r="A84" s="22" t="n"/>
      <c r="B84" s="22" t="n"/>
      <c r="C84" s="22" t="n"/>
      <c r="D84" s="22" t="n"/>
      <c r="F84" s="22" t="n"/>
    </row>
    <row r="85">
      <c r="A85" s="22" t="n"/>
      <c r="B85" s="22" t="n"/>
      <c r="C85" s="22" t="n"/>
      <c r="D85" s="22" t="n"/>
      <c r="F85" s="22" t="n"/>
    </row>
    <row r="86">
      <c r="A86" s="22" t="n"/>
      <c r="B86" s="22" t="n"/>
      <c r="C86" s="22" t="n"/>
      <c r="D86" s="22" t="n"/>
      <c r="F86" s="22" t="n"/>
    </row>
    <row r="87">
      <c r="A87" s="22" t="n"/>
      <c r="B87" s="22" t="n"/>
      <c r="C87" s="22" t="n"/>
      <c r="D87" s="22" t="n"/>
      <c r="F87" s="22" t="n"/>
    </row>
    <row r="88">
      <c r="A88" s="22" t="n"/>
      <c r="B88" s="22" t="n"/>
      <c r="C88" s="22" t="n"/>
      <c r="D88" s="22" t="n"/>
      <c r="F88" s="22" t="n"/>
    </row>
    <row r="89">
      <c r="A89" s="22" t="n"/>
      <c r="B89" s="22" t="n"/>
      <c r="C89" s="22" t="n"/>
      <c r="D89" s="22" t="n"/>
      <c r="F89" s="22" t="n"/>
    </row>
    <row r="90">
      <c r="A90" s="22" t="n"/>
      <c r="B90" s="22" t="n"/>
      <c r="C90" s="22" t="n"/>
      <c r="D90" s="22" t="n"/>
      <c r="F90" s="22" t="n"/>
    </row>
    <row r="91">
      <c r="A91" s="22" t="n"/>
      <c r="B91" s="22" t="n"/>
      <c r="C91" s="22" t="n"/>
      <c r="D91" s="22" t="n"/>
      <c r="F91" s="22" t="n"/>
    </row>
    <row r="92">
      <c r="A92" s="22" t="n"/>
      <c r="B92" s="22" t="n"/>
      <c r="C92" s="22" t="n"/>
      <c r="D92" s="22" t="n"/>
      <c r="F92" s="22" t="n"/>
    </row>
    <row r="93">
      <c r="A93" s="22" t="n"/>
      <c r="B93" s="22" t="n"/>
      <c r="C93" s="22" t="n"/>
      <c r="D93" s="22" t="n"/>
      <c r="F93" s="22" t="n"/>
    </row>
    <row r="94">
      <c r="A94" s="22" t="n"/>
      <c r="B94" s="22" t="n"/>
      <c r="C94" s="22" t="n"/>
      <c r="D94" s="22" t="n"/>
      <c r="F94" s="22" t="n"/>
    </row>
    <row r="95">
      <c r="A95" s="22" t="n"/>
      <c r="B95" s="22" t="n"/>
      <c r="C95" s="22" t="n"/>
      <c r="D95" s="22" t="n"/>
      <c r="F95" s="22" t="n"/>
    </row>
    <row r="96">
      <c r="A96" s="22" t="n"/>
      <c r="B96" s="22" t="n"/>
      <c r="C96" s="22" t="n"/>
      <c r="D96" s="22" t="n"/>
      <c r="F96" s="22" t="n"/>
    </row>
    <row r="97">
      <c r="A97" s="22" t="n"/>
      <c r="B97" s="22" t="n"/>
      <c r="C97" s="22" t="n"/>
      <c r="D97" s="22" t="n"/>
      <c r="F97" s="22" t="n"/>
    </row>
    <row r="98">
      <c r="A98" s="22" t="n"/>
      <c r="B98" s="22" t="n"/>
      <c r="C98" s="22" t="n"/>
      <c r="D98" s="22" t="n"/>
      <c r="F98" s="22" t="n"/>
    </row>
    <row r="99">
      <c r="A99" s="22" t="n"/>
      <c r="B99" s="22" t="n"/>
      <c r="C99" s="22" t="n"/>
      <c r="D99" s="22" t="n"/>
      <c r="F99" s="2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53"/>
  <autoFilter ref="A4:F7"/>
  <mergeCells count="2">
    <mergeCell ref="A2:F2"/>
    <mergeCell ref="A1:F1"/>
  </mergeCells>
  <dataValidations count="2">
    <dataValidation sqref="A5:A7" showDropDown="0" showInputMessage="0" showErrorMessage="0" allowBlank="1" type="list">
      <formula1>'ŞƏXSLƏR'!$E$5:$E$100</formula1>
    </dataValidation>
    <dataValidation sqref="B5:B7" showDropDown="0" showInputMessage="0" showErrorMessage="0" allowBlank="1" type="list">
      <formula1>"Məzuniyyət,Başqa yer,Ezamiyyət,Xəstəlik,Təlim,Digər"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9" t="inlineStr">
        <is>
          <t>ŞƏXSLƏRİN NÖVBƏ VƏ XİDMƏT YÜKÜ BALANSI</t>
        </is>
      </c>
    </row>
    <row r="2">
      <c r="A2" s="10" t="inlineStr">
        <is>
          <t>Bu vərəqdə hər şəxsin cari ayda və əvvəlki aylarda növbə və xidmət yükü göstərilir.</t>
        </is>
      </c>
    </row>
    <row r="3"/>
    <row r="4">
      <c r="A4" s="14" t="inlineStr">
        <is>
          <t>Şəxs</t>
        </is>
      </c>
      <c r="B4" s="14" t="inlineStr">
        <is>
          <t>Ümumi növbə</t>
        </is>
      </c>
      <c r="C4" s="14" t="inlineStr">
        <is>
          <t>Ümumi xidmət yükü</t>
        </is>
      </c>
      <c r="D4" s="14" t="inlineStr">
        <is>
          <t>Mövcud gün</t>
        </is>
      </c>
      <c r="E4" s="14" t="inlineStr">
        <is>
          <t>Normallaşdırılmış yük</t>
        </is>
      </c>
      <c r="F4" s="14" t="inlineStr">
        <is>
          <t>Cümə</t>
        </is>
      </c>
      <c r="G4" s="14" t="inlineStr">
        <is>
          <t>Şənbə</t>
        </is>
      </c>
      <c r="H4" s="14" t="inlineStr">
        <is>
          <t>Bazar</t>
        </is>
      </c>
      <c r="I4" s="14" t="inlineStr">
        <is>
          <t>Cümə→Şənbə</t>
        </is>
      </c>
      <c r="J4" s="14" t="inlineStr">
        <is>
          <t>Şənbə→Bazar</t>
        </is>
      </c>
      <c r="K4" s="14" t="inlineStr">
        <is>
          <t>Bazar→Bazar ertəsi</t>
        </is>
      </c>
      <c r="L4" s="14" t="inlineStr">
        <is>
          <t>Ağır növbə</t>
        </is>
      </c>
      <c r="M4" s="14" t="inlineStr">
        <is>
          <t>Orta növbə</t>
        </is>
      </c>
      <c r="N4" s="14" t="inlineStr">
        <is>
          <t>Yüngül növbə</t>
        </is>
      </c>
      <c r="O4" s="14" t="inlineStr">
        <is>
          <t>Son növbə</t>
        </is>
      </c>
    </row>
    <row r="5">
      <c r="A5" s="20" t="inlineStr">
        <is>
          <t>İbrahimov Rövşən Hüseyn oğlu</t>
        </is>
      </c>
      <c r="B5" s="6">
        <f>COUNTIF('AYLIQ QRAFİK'!$E$8:$E$37,A5)+COUNTIF('AYLIQ QRAFİK'!$F$8:$F$37,A5)+COUNTIF('AYLIQ QRAFİK'!$G$8:$G$37,A5)+COUNTIF('AYLIQ QRAFİK'!$H$8:$H$37,A5)+COUNTIF('AYLIQ QRAFİK'!$I$8:$I$37,A5)+COUNTIF('AYLIQ QRAFİK'!$J$8:$J$37,A5)</f>
        <v/>
      </c>
      <c r="C5" s="6">
        <f>COUNTIF('AYLIQ QRAFİK'!$E$8:$E$37,A5)*PARAMETRLƏR!$B$5+COUNTIF('AYLIQ QRAFİK'!$F$8:$F$37,A5)*PARAMETRLƏR!$B$6+COUNTIF('AYLIQ QRAFİK'!$G$8:$G$37,A5)*PARAMETRLƏR!$B$7+COUNTIF('AYLIQ QRAFİK'!$H$8:$H$37,A5)*PARAMETRLƏR!$B$8+COUNTIF('AYLIQ QRAFİK'!$I$8:$I$37,A5)*PARAMETRLƏR!$B$9+COUNTIF('AYLIQ QRAFİK'!$J$8:$J$37,A5)*PARAMETRLƏR!$B$10</f>
        <v/>
      </c>
      <c r="D5" s="16" t="n">
        <v>30</v>
      </c>
      <c r="E5" s="8">
        <f>IF(D5&gt;0,C5/D5,0)</f>
        <v/>
      </c>
      <c r="F5" s="6">
        <f>COUNTIFS('AYLIQ QRAFİK'!$E$8:$J$37,A5,'AYLIQ QRAFİK'!$C$8:$C$37,"Cümə")+COUNTIFS('AYLIQ QRAFİK'!$E$8:$J$37,A5,'AYLIQ QRAFİK'!$C$8:$C$37,"Cümə axşamı")</f>
        <v/>
      </c>
      <c r="G5" s="6">
        <f>COUNTIFS('AYLIQ QRAFİK'!$E$8:$J$37,A5,'AYLIQ QRAFİK'!$C$8:$C$37,"Şənbə")</f>
        <v/>
      </c>
      <c r="H5" s="6">
        <f>COUNTIFS('AYLIQ QRAFİK'!$E$8:$J$37,A5,'AYLIQ QRAFİK'!$C$8:$C$37,"Bazar")</f>
        <v/>
      </c>
      <c r="I5" s="6">
        <f>COUNTIFS('AYLIQ QRAFİK'!$E$8:$J$37,A5,'AYLIQ QRAFİK'!$C$8:$C$37,"Cümə",'AYLIQ QRAFİK'!$C$9:$C$38,"Şənbə")+COUNTIFS('AYLIQ QRAFİK'!$E$8:$J$37,A5,'AYLIQ QRAFİK'!$C$8:$C$37,"Cümə axşamı",'AYLIQ QRAFİK'!$C$9:$C$38,"Şənbə")</f>
        <v/>
      </c>
      <c r="J5" s="6">
        <f>COUNTIFS('AYLIQ QRAFİK'!$E$8:$J$37,A5,'AYLIQ QRAFİK'!$C$8:$C$37,"Şənbə",'AYLIQ QRAFİK'!$C$9:$C$38,"Bazar")</f>
        <v/>
      </c>
      <c r="K5" s="6">
        <f>COUNTIFS('AYLIQ QRAFİK'!$E$8:$J$37,A5,'AYLIQ QRAFİK'!$C$8:$C$37,"Bazar",'AYLIQ QRAFİK'!$C$9:$C$38,"Bazar ertəsi")</f>
        <v/>
      </c>
      <c r="L5" s="6">
        <f>COUNTIF('AYLIQ QRAFİK'!$E$8:$E$37,A5)+COUNTIF('AYLIQ QRAFİK'!$F$8:$F$37,A5)</f>
        <v/>
      </c>
      <c r="M5" s="6">
        <f>COUNTIF('AYLIQ QRAFİK'!$G$8:$G$37,A5)+COUNTIF('AYLIQ QRAFİK'!$H$8:$H$37,A5)</f>
        <v/>
      </c>
      <c r="N5" s="6">
        <f>COUNTIF('AYLIQ QRAFİK'!$I$8:$I$37,A5)+COUNTIF('AYLIQ QRAFİK'!$J$8:$J$37,A5)</f>
        <v/>
      </c>
      <c r="O5" s="15">
        <f>IFERROR(MAXIFS('AYLIQ QRAFİK'!$B$8:$B$37,'AYLIQ QRAFİK'!$E$8:$E$37,A5,'AYLIQ QRAFİK'!$E$8:$J$37,A5),"")</f>
        <v/>
      </c>
    </row>
    <row r="6">
      <c r="A6" s="20" t="inlineStr">
        <is>
          <t>Məmmədəliyev Elşən Cavad oğlu</t>
        </is>
      </c>
      <c r="B6" s="6">
        <f>COUNTIF('AYLIQ QRAFİK'!$E$8:$E$37,A6)+COUNTIF('AYLIQ QRAFİK'!$F$8:$F$37,A6)+COUNTIF('AYLIQ QRAFİK'!$G$8:$G$37,A6)+COUNTIF('AYLIQ QRAFİK'!$H$8:$H$37,A6)+COUNTIF('AYLIQ QRAFİK'!$I$8:$I$37,A6)+COUNTIF('AYLIQ QRAFİK'!$J$8:$J$37,A6)</f>
        <v/>
      </c>
      <c r="C6" s="6">
        <f>COUNTIF('AYLIQ QRAFİK'!$E$8:$E$37,A6)*PARAMETRLƏR!$B$5+COUNTIF('AYLIQ QRAFİK'!$F$8:$F$37,A6)*PARAMETRLƏR!$B$6+COUNTIF('AYLIQ QRAFİK'!$G$8:$G$37,A6)*PARAMETRLƏR!$B$7+COUNTIF('AYLIQ QRAFİK'!$H$8:$H$37,A6)*PARAMETRLƏR!$B$8+COUNTIF('AYLIQ QRAFİK'!$I$8:$I$37,A6)*PARAMETRLƏR!$B$9+COUNTIF('AYLIQ QRAFİK'!$J$8:$J$37,A6)*PARAMETRLƏR!$B$10</f>
        <v/>
      </c>
      <c r="D6" s="16" t="n">
        <v>30</v>
      </c>
      <c r="E6" s="8">
        <f>IF(D6&gt;0,C6/D6,0)</f>
        <v/>
      </c>
      <c r="F6" s="6">
        <f>COUNTIFS('AYLIQ QRAFİK'!$E$8:$J$37,A6,'AYLIQ QRAFİK'!$C$8:$C$37,"Cümə")+COUNTIFS('AYLIQ QRAFİK'!$E$8:$J$37,A6,'AYLIQ QRAFİK'!$C$8:$C$37,"Cümə axşamı")</f>
        <v/>
      </c>
      <c r="G6" s="6">
        <f>COUNTIFS('AYLIQ QRAFİK'!$E$8:$J$37,A6,'AYLIQ QRAFİK'!$C$8:$C$37,"Şənbə")</f>
        <v/>
      </c>
      <c r="H6" s="6">
        <f>COUNTIFS('AYLIQ QRAFİK'!$E$8:$J$37,A6,'AYLIQ QRAFİK'!$C$8:$C$37,"Bazar")</f>
        <v/>
      </c>
      <c r="I6" s="6">
        <f>COUNTIFS('AYLIQ QRAFİK'!$E$8:$J$37,A6,'AYLIQ QRAFİK'!$C$8:$C$37,"Cümə",'AYLIQ QRAFİK'!$C$9:$C$38,"Şənbə")+COUNTIFS('AYLIQ QRAFİK'!$E$8:$J$37,A6,'AYLIQ QRAFİK'!$C$8:$C$37,"Cümə axşamı",'AYLIQ QRAFİK'!$C$9:$C$38,"Şənbə")</f>
        <v/>
      </c>
      <c r="J6" s="6">
        <f>COUNTIFS('AYLIQ QRAFİK'!$E$8:$J$37,A6,'AYLIQ QRAFİK'!$C$8:$C$37,"Şənbə",'AYLIQ QRAFİK'!$C$9:$C$38,"Bazar")</f>
        <v/>
      </c>
      <c r="K6" s="6">
        <f>COUNTIFS('AYLIQ QRAFİK'!$E$8:$J$37,A6,'AYLIQ QRAFİK'!$C$8:$C$37,"Bazar",'AYLIQ QRAFİK'!$C$9:$C$38,"Bazar ertəsi")</f>
        <v/>
      </c>
      <c r="L6" s="6">
        <f>COUNTIF('AYLIQ QRAFİK'!$E$8:$E$37,A6)+COUNTIF('AYLIQ QRAFİK'!$F$8:$F$37,A6)</f>
        <v/>
      </c>
      <c r="M6" s="6">
        <f>COUNTIF('AYLIQ QRAFİK'!$G$8:$G$37,A6)+COUNTIF('AYLIQ QRAFİK'!$H$8:$H$37,A6)</f>
        <v/>
      </c>
      <c r="N6" s="6">
        <f>COUNTIF('AYLIQ QRAFİK'!$I$8:$I$37,A6)+COUNTIF('AYLIQ QRAFİK'!$J$8:$J$37,A6)</f>
        <v/>
      </c>
      <c r="O6" s="15">
        <f>IFERROR(MAXIFS('AYLIQ QRAFİK'!$B$8:$B$37,'AYLIQ QRAFİK'!$E$8:$E$37,A6,'AYLIQ QRAFİK'!$E$8:$J$37,A6),"")</f>
        <v/>
      </c>
    </row>
    <row r="7">
      <c r="A7" s="20" t="inlineStr">
        <is>
          <t>Quliyeva Aytən Rövşən qızı</t>
        </is>
      </c>
      <c r="B7" s="6">
        <f>COUNTIF('AYLIQ QRAFİK'!$E$8:$E$37,A7)+COUNTIF('AYLIQ QRAFİK'!$F$8:$F$37,A7)+COUNTIF('AYLIQ QRAFİK'!$G$8:$G$37,A7)+COUNTIF('AYLIQ QRAFİK'!$H$8:$H$37,A7)+COUNTIF('AYLIQ QRAFİK'!$I$8:$I$37,A7)+COUNTIF('AYLIQ QRAFİK'!$J$8:$J$37,A7)</f>
        <v/>
      </c>
      <c r="C7" s="6">
        <f>COUNTIF('AYLIQ QRAFİK'!$E$8:$E$37,A7)*PARAMETRLƏR!$B$5+COUNTIF('AYLIQ QRAFİK'!$F$8:$F$37,A7)*PARAMETRLƏR!$B$6+COUNTIF('AYLIQ QRAFİK'!$G$8:$G$37,A7)*PARAMETRLƏR!$B$7+COUNTIF('AYLIQ QRAFİK'!$H$8:$H$37,A7)*PARAMETRLƏR!$B$8+COUNTIF('AYLIQ QRAFİK'!$I$8:$I$37,A7)*PARAMETRLƏR!$B$9+COUNTIF('AYLIQ QRAFİK'!$J$8:$J$37,A7)*PARAMETRLƏR!$B$10</f>
        <v/>
      </c>
      <c r="D7" s="16" t="n">
        <v>30</v>
      </c>
      <c r="E7" s="8">
        <f>IF(D7&gt;0,C7/D7,0)</f>
        <v/>
      </c>
      <c r="F7" s="6">
        <f>COUNTIFS('AYLIQ QRAFİK'!$E$8:$J$37,A7,'AYLIQ QRAFİK'!$C$8:$C$37,"Cümə")+COUNTIFS('AYLIQ QRAFİK'!$E$8:$J$37,A7,'AYLIQ QRAFİK'!$C$8:$C$37,"Cümə axşamı")</f>
        <v/>
      </c>
      <c r="G7" s="6">
        <f>COUNTIFS('AYLIQ QRAFİK'!$E$8:$J$37,A7,'AYLIQ QRAFİK'!$C$8:$C$37,"Şənbə")</f>
        <v/>
      </c>
      <c r="H7" s="6">
        <f>COUNTIFS('AYLIQ QRAFİK'!$E$8:$J$37,A7,'AYLIQ QRAFİK'!$C$8:$C$37,"Bazar")</f>
        <v/>
      </c>
      <c r="I7" s="6">
        <f>COUNTIFS('AYLIQ QRAFİK'!$E$8:$J$37,A7,'AYLIQ QRAFİK'!$C$8:$C$37,"Cümə",'AYLIQ QRAFİK'!$C$9:$C$38,"Şənbə")+COUNTIFS('AYLIQ QRAFİK'!$E$8:$J$37,A7,'AYLIQ QRAFİK'!$C$8:$C$37,"Cümə axşamı",'AYLIQ QRAFİK'!$C$9:$C$38,"Şənbə")</f>
        <v/>
      </c>
      <c r="J7" s="6">
        <f>COUNTIFS('AYLIQ QRAFİK'!$E$8:$J$37,A7,'AYLIQ QRAFİK'!$C$8:$C$37,"Şənbə",'AYLIQ QRAFİK'!$C$9:$C$38,"Bazar")</f>
        <v/>
      </c>
      <c r="K7" s="6">
        <f>COUNTIFS('AYLIQ QRAFİK'!$E$8:$J$37,A7,'AYLIQ QRAFİK'!$C$8:$C$37,"Bazar",'AYLIQ QRAFİK'!$C$9:$C$38,"Bazar ertəsi")</f>
        <v/>
      </c>
      <c r="L7" s="6">
        <f>COUNTIF('AYLIQ QRAFİK'!$E$8:$E$37,A7)+COUNTIF('AYLIQ QRAFİK'!$F$8:$F$37,A7)</f>
        <v/>
      </c>
      <c r="M7" s="6">
        <f>COUNTIF('AYLIQ QRAFİK'!$G$8:$G$37,A7)+COUNTIF('AYLIQ QRAFİK'!$H$8:$H$37,A7)</f>
        <v/>
      </c>
      <c r="N7" s="6">
        <f>COUNTIF('AYLIQ QRAFİK'!$I$8:$I$37,A7)+COUNTIF('AYLIQ QRAFİK'!$J$8:$J$37,A7)</f>
        <v/>
      </c>
      <c r="O7" s="15">
        <f>IFERROR(MAXIFS('AYLIQ QRAFİK'!$B$8:$B$37,'AYLIQ QRAFİK'!$E$8:$E$37,A7,'AYLIQ QRAFİK'!$E$8:$J$37,A7),"")</f>
        <v/>
      </c>
    </row>
    <row r="8">
      <c r="A8" s="20" t="inlineStr">
        <is>
          <t>Hüseynov Cavid Tofiq oğlu</t>
        </is>
      </c>
      <c r="B8" s="6">
        <f>COUNTIF('AYLIQ QRAFİK'!$E$8:$E$37,A8)+COUNTIF('AYLIQ QRAFİK'!$F$8:$F$37,A8)+COUNTIF('AYLIQ QRAFİK'!$G$8:$G$37,A8)+COUNTIF('AYLIQ QRAFİK'!$H$8:$H$37,A8)+COUNTIF('AYLIQ QRAFİK'!$I$8:$I$37,A8)+COUNTIF('AYLIQ QRAFİK'!$J$8:$J$37,A8)</f>
        <v/>
      </c>
      <c r="C8" s="6">
        <f>COUNTIF('AYLIQ QRAFİK'!$E$8:$E$37,A8)*PARAMETRLƏR!$B$5+COUNTIF('AYLIQ QRAFİK'!$F$8:$F$37,A8)*PARAMETRLƏR!$B$6+COUNTIF('AYLIQ QRAFİK'!$G$8:$G$37,A8)*PARAMETRLƏR!$B$7+COUNTIF('AYLIQ QRAFİK'!$H$8:$H$37,A8)*PARAMETRLƏR!$B$8+COUNTIF('AYLIQ QRAFİK'!$I$8:$I$37,A8)*PARAMETRLƏR!$B$9+COUNTIF('AYLIQ QRAFİK'!$J$8:$J$37,A8)*PARAMETRLƏR!$B$10</f>
        <v/>
      </c>
      <c r="D8" s="16" t="n">
        <v>30</v>
      </c>
      <c r="E8" s="8">
        <f>IF(D8&gt;0,C8/D8,0)</f>
        <v/>
      </c>
      <c r="F8" s="6">
        <f>COUNTIFS('AYLIQ QRAFİK'!$E$8:$J$37,A8,'AYLIQ QRAFİK'!$C$8:$C$37,"Cümə")+COUNTIFS('AYLIQ QRAFİK'!$E$8:$J$37,A8,'AYLIQ QRAFİK'!$C$8:$C$37,"Cümə axşamı")</f>
        <v/>
      </c>
      <c r="G8" s="6">
        <f>COUNTIFS('AYLIQ QRAFİK'!$E$8:$J$37,A8,'AYLIQ QRAFİK'!$C$8:$C$37,"Şənbə")</f>
        <v/>
      </c>
      <c r="H8" s="6">
        <f>COUNTIFS('AYLIQ QRAFİK'!$E$8:$J$37,A8,'AYLIQ QRAFİK'!$C$8:$C$37,"Bazar")</f>
        <v/>
      </c>
      <c r="I8" s="6">
        <f>COUNTIFS('AYLIQ QRAFİK'!$E$8:$J$37,A8,'AYLIQ QRAFİK'!$C$8:$C$37,"Cümə",'AYLIQ QRAFİK'!$C$9:$C$38,"Şənbə")+COUNTIFS('AYLIQ QRAFİK'!$E$8:$J$37,A8,'AYLIQ QRAFİK'!$C$8:$C$37,"Cümə axşamı",'AYLIQ QRAFİK'!$C$9:$C$38,"Şənbə")</f>
        <v/>
      </c>
      <c r="J8" s="6">
        <f>COUNTIFS('AYLIQ QRAFİK'!$E$8:$J$37,A8,'AYLIQ QRAFİK'!$C$8:$C$37,"Şənbə",'AYLIQ QRAFİK'!$C$9:$C$38,"Bazar")</f>
        <v/>
      </c>
      <c r="K8" s="6">
        <f>COUNTIFS('AYLIQ QRAFİK'!$E$8:$J$37,A8,'AYLIQ QRAFİK'!$C$8:$C$37,"Bazar",'AYLIQ QRAFİK'!$C$9:$C$38,"Bazar ertəsi")</f>
        <v/>
      </c>
      <c r="L8" s="6">
        <f>COUNTIF('AYLIQ QRAFİK'!$E$8:$E$37,A8)+COUNTIF('AYLIQ QRAFİK'!$F$8:$F$37,A8)</f>
        <v/>
      </c>
      <c r="M8" s="6">
        <f>COUNTIF('AYLIQ QRAFİK'!$G$8:$G$37,A8)+COUNTIF('AYLIQ QRAFİK'!$H$8:$H$37,A8)</f>
        <v/>
      </c>
      <c r="N8" s="6">
        <f>COUNTIF('AYLIQ QRAFİK'!$I$8:$I$37,A8)+COUNTIF('AYLIQ QRAFİK'!$J$8:$J$37,A8)</f>
        <v/>
      </c>
      <c r="O8" s="15">
        <f>IFERROR(MAXIFS('AYLIQ QRAFİK'!$B$8:$B$37,'AYLIQ QRAFİK'!$E$8:$E$37,A8,'AYLIQ QRAFİK'!$E$8:$J$37,A8),"")</f>
        <v/>
      </c>
    </row>
    <row r="9">
      <c r="A9" s="20" t="inlineStr">
        <is>
          <t>Əliyev Vüsal Nizami oğlu</t>
        </is>
      </c>
      <c r="B9" s="6">
        <f>COUNTIF('AYLIQ QRAFİK'!$E$8:$E$37,A9)+COUNTIF('AYLIQ QRAFİK'!$F$8:$F$37,A9)+COUNTIF('AYLIQ QRAFİK'!$G$8:$G$37,A9)+COUNTIF('AYLIQ QRAFİK'!$H$8:$H$37,A9)+COUNTIF('AYLIQ QRAFİK'!$I$8:$I$37,A9)+COUNTIF('AYLIQ QRAFİK'!$J$8:$J$37,A9)</f>
        <v/>
      </c>
      <c r="C9" s="6">
        <f>COUNTIF('AYLIQ QRAFİK'!$E$8:$E$37,A9)*PARAMETRLƏR!$B$5+COUNTIF('AYLIQ QRAFİK'!$F$8:$F$37,A9)*PARAMETRLƏR!$B$6+COUNTIF('AYLIQ QRAFİK'!$G$8:$G$37,A9)*PARAMETRLƏR!$B$7+COUNTIF('AYLIQ QRAFİK'!$H$8:$H$37,A9)*PARAMETRLƏR!$B$8+COUNTIF('AYLIQ QRAFİK'!$I$8:$I$37,A9)*PARAMETRLƏR!$B$9+COUNTIF('AYLIQ QRAFİK'!$J$8:$J$37,A9)*PARAMETRLƏR!$B$10</f>
        <v/>
      </c>
      <c r="D9" s="16" t="n">
        <v>30</v>
      </c>
      <c r="E9" s="8">
        <f>IF(D9&gt;0,C9/D9,0)</f>
        <v/>
      </c>
      <c r="F9" s="6">
        <f>COUNTIFS('AYLIQ QRAFİK'!$E$8:$J$37,A9,'AYLIQ QRAFİK'!$C$8:$C$37,"Cümə")+COUNTIFS('AYLIQ QRAFİK'!$E$8:$J$37,A9,'AYLIQ QRAFİK'!$C$8:$C$37,"Cümə axşamı")</f>
        <v/>
      </c>
      <c r="G9" s="6">
        <f>COUNTIFS('AYLIQ QRAFİK'!$E$8:$J$37,A9,'AYLIQ QRAFİK'!$C$8:$C$37,"Şənbə")</f>
        <v/>
      </c>
      <c r="H9" s="6">
        <f>COUNTIFS('AYLIQ QRAFİK'!$E$8:$J$37,A9,'AYLIQ QRAFİK'!$C$8:$C$37,"Bazar")</f>
        <v/>
      </c>
      <c r="I9" s="6">
        <f>COUNTIFS('AYLIQ QRAFİK'!$E$8:$J$37,A9,'AYLIQ QRAFİK'!$C$8:$C$37,"Cümə",'AYLIQ QRAFİK'!$C$9:$C$38,"Şənbə")+COUNTIFS('AYLIQ QRAFİK'!$E$8:$J$37,A9,'AYLIQ QRAFİK'!$C$8:$C$37,"Cümə axşamı",'AYLIQ QRAFİK'!$C$9:$C$38,"Şənbə")</f>
        <v/>
      </c>
      <c r="J9" s="6">
        <f>COUNTIFS('AYLIQ QRAFİK'!$E$8:$J$37,A9,'AYLIQ QRAFİK'!$C$8:$C$37,"Şənbə",'AYLIQ QRAFİK'!$C$9:$C$38,"Bazar")</f>
        <v/>
      </c>
      <c r="K9" s="6">
        <f>COUNTIFS('AYLIQ QRAFİK'!$E$8:$J$37,A9,'AYLIQ QRAFİK'!$C$8:$C$37,"Bazar",'AYLIQ QRAFİK'!$C$9:$C$38,"Bazar ertəsi")</f>
        <v/>
      </c>
      <c r="L9" s="6">
        <f>COUNTIF('AYLIQ QRAFİK'!$E$8:$E$37,A9)+COUNTIF('AYLIQ QRAFİK'!$F$8:$F$37,A9)</f>
        <v/>
      </c>
      <c r="M9" s="6">
        <f>COUNTIF('AYLIQ QRAFİK'!$G$8:$G$37,A9)+COUNTIF('AYLIQ QRAFİK'!$H$8:$H$37,A9)</f>
        <v/>
      </c>
      <c r="N9" s="6">
        <f>COUNTIF('AYLIQ QRAFİK'!$I$8:$I$37,A9)+COUNTIF('AYLIQ QRAFİK'!$J$8:$J$37,A9)</f>
        <v/>
      </c>
      <c r="O9" s="15">
        <f>IFERROR(MAXIFS('AYLIQ QRAFİK'!$B$8:$B$37,'AYLIQ QRAFİK'!$E$8:$E$37,A9,'AYLIQ QRAFİK'!$E$8:$J$37,A9),"")</f>
        <v/>
      </c>
    </row>
    <row r="10">
      <c r="A10" s="20" t="inlineStr">
        <is>
          <t>Rzayev Orxan Eldar oğlu</t>
        </is>
      </c>
      <c r="B10" s="6">
        <f>COUNTIF('AYLIQ QRAFİK'!$E$8:$E$37,A10)+COUNTIF('AYLIQ QRAFİK'!$F$8:$F$37,A10)+COUNTIF('AYLIQ QRAFİK'!$G$8:$G$37,A10)+COUNTIF('AYLIQ QRAFİK'!$H$8:$H$37,A10)+COUNTIF('AYLIQ QRAFİK'!$I$8:$I$37,A10)+COUNTIF('AYLIQ QRAFİK'!$J$8:$J$37,A10)</f>
        <v/>
      </c>
      <c r="C10" s="6">
        <f>COUNTIF('AYLIQ QRAFİK'!$E$8:$E$37,A10)*PARAMETRLƏR!$B$5+COUNTIF('AYLIQ QRAFİK'!$F$8:$F$37,A10)*PARAMETRLƏR!$B$6+COUNTIF('AYLIQ QRAFİK'!$G$8:$G$37,A10)*PARAMETRLƏR!$B$7+COUNTIF('AYLIQ QRAFİK'!$H$8:$H$37,A10)*PARAMETRLƏR!$B$8+COUNTIF('AYLIQ QRAFİK'!$I$8:$I$37,A10)*PARAMETRLƏR!$B$9+COUNTIF('AYLIQ QRAFİK'!$J$8:$J$37,A10)*PARAMETRLƏR!$B$10</f>
        <v/>
      </c>
      <c r="D10" s="16" t="n">
        <v>30</v>
      </c>
      <c r="E10" s="8">
        <f>IF(D10&gt;0,C10/D10,0)</f>
        <v/>
      </c>
      <c r="F10" s="6">
        <f>COUNTIFS('AYLIQ QRAFİK'!$E$8:$J$37,A10,'AYLIQ QRAFİK'!$C$8:$C$37,"Cümə")+COUNTIFS('AYLIQ QRAFİK'!$E$8:$J$37,A10,'AYLIQ QRAFİK'!$C$8:$C$37,"Cümə axşamı")</f>
        <v/>
      </c>
      <c r="G10" s="6">
        <f>COUNTIFS('AYLIQ QRAFİK'!$E$8:$J$37,A10,'AYLIQ QRAFİK'!$C$8:$C$37,"Şənbə")</f>
        <v/>
      </c>
      <c r="H10" s="6">
        <f>COUNTIFS('AYLIQ QRAFİK'!$E$8:$J$37,A10,'AYLIQ QRAFİK'!$C$8:$C$37,"Bazar")</f>
        <v/>
      </c>
      <c r="I10" s="6">
        <f>COUNTIFS('AYLIQ QRAFİK'!$E$8:$J$37,A10,'AYLIQ QRAFİK'!$C$8:$C$37,"Cümə",'AYLIQ QRAFİK'!$C$9:$C$38,"Şənbə")+COUNTIFS('AYLIQ QRAFİK'!$E$8:$J$37,A10,'AYLIQ QRAFİK'!$C$8:$C$37,"Cümə axşamı",'AYLIQ QRAFİK'!$C$9:$C$38,"Şənbə")</f>
        <v/>
      </c>
      <c r="J10" s="6">
        <f>COUNTIFS('AYLIQ QRAFİK'!$E$8:$J$37,A10,'AYLIQ QRAFİK'!$C$8:$C$37,"Şənbə",'AYLIQ QRAFİK'!$C$9:$C$38,"Bazar")</f>
        <v/>
      </c>
      <c r="K10" s="6">
        <f>COUNTIFS('AYLIQ QRAFİK'!$E$8:$J$37,A10,'AYLIQ QRAFİK'!$C$8:$C$37,"Bazar",'AYLIQ QRAFİK'!$C$9:$C$38,"Bazar ertəsi")</f>
        <v/>
      </c>
      <c r="L10" s="6">
        <f>COUNTIF('AYLIQ QRAFİK'!$E$8:$E$37,A10)+COUNTIF('AYLIQ QRAFİK'!$F$8:$F$37,A10)</f>
        <v/>
      </c>
      <c r="M10" s="6">
        <f>COUNTIF('AYLIQ QRAFİK'!$G$8:$G$37,A10)+COUNTIF('AYLIQ QRAFİK'!$H$8:$H$37,A10)</f>
        <v/>
      </c>
      <c r="N10" s="6">
        <f>COUNTIF('AYLIQ QRAFİK'!$I$8:$I$37,A10)+COUNTIF('AYLIQ QRAFİK'!$J$8:$J$37,A10)</f>
        <v/>
      </c>
      <c r="O10" s="15">
        <f>IFERROR(MAXIFS('AYLIQ QRAFİK'!$B$8:$B$37,'AYLIQ QRAFİK'!$E$8:$E$37,A10,'AYLIQ QRAFİK'!$E$8:$J$37,A10),"")</f>
        <v/>
      </c>
    </row>
    <row r="11">
      <c r="A11" s="20" t="inlineStr">
        <is>
          <t>Səlimova Nərgiz Rafiq qızı</t>
        </is>
      </c>
      <c r="B11" s="6">
        <f>COUNTIF('AYLIQ QRAFİK'!$E$8:$E$37,A11)+COUNTIF('AYLIQ QRAFİK'!$F$8:$F$37,A11)+COUNTIF('AYLIQ QRAFİK'!$G$8:$G$37,A11)+COUNTIF('AYLIQ QRAFİK'!$H$8:$H$37,A11)+COUNTIF('AYLIQ QRAFİK'!$I$8:$I$37,A11)+COUNTIF('AYLIQ QRAFİK'!$J$8:$J$37,A11)</f>
        <v/>
      </c>
      <c r="C11" s="6">
        <f>COUNTIF('AYLIQ QRAFİK'!$E$8:$E$37,A11)*PARAMETRLƏR!$B$5+COUNTIF('AYLIQ QRAFİK'!$F$8:$F$37,A11)*PARAMETRLƏR!$B$6+COUNTIF('AYLIQ QRAFİK'!$G$8:$G$37,A11)*PARAMETRLƏR!$B$7+COUNTIF('AYLIQ QRAFİK'!$H$8:$H$37,A11)*PARAMETRLƏR!$B$8+COUNTIF('AYLIQ QRAFİK'!$I$8:$I$37,A11)*PARAMETRLƏR!$B$9+COUNTIF('AYLIQ QRAFİK'!$J$8:$J$37,A11)*PARAMETRLƏR!$B$10</f>
        <v/>
      </c>
      <c r="D11" s="16" t="n">
        <v>30</v>
      </c>
      <c r="E11" s="8">
        <f>IF(D11&gt;0,C11/D11,0)</f>
        <v/>
      </c>
      <c r="F11" s="6">
        <f>COUNTIFS('AYLIQ QRAFİK'!$E$8:$J$37,A11,'AYLIQ QRAFİK'!$C$8:$C$37,"Cümə")+COUNTIFS('AYLIQ QRAFİK'!$E$8:$J$37,A11,'AYLIQ QRAFİK'!$C$8:$C$37,"Cümə axşamı")</f>
        <v/>
      </c>
      <c r="G11" s="6">
        <f>COUNTIFS('AYLIQ QRAFİK'!$E$8:$J$37,A11,'AYLIQ QRAFİK'!$C$8:$C$37,"Şənbə")</f>
        <v/>
      </c>
      <c r="H11" s="6">
        <f>COUNTIFS('AYLIQ QRAFİK'!$E$8:$J$37,A11,'AYLIQ QRAFİK'!$C$8:$C$37,"Bazar")</f>
        <v/>
      </c>
      <c r="I11" s="6">
        <f>COUNTIFS('AYLIQ QRAFİK'!$E$8:$J$37,A11,'AYLIQ QRAFİK'!$C$8:$C$37,"Cümə",'AYLIQ QRAFİK'!$C$9:$C$38,"Şənbə")+COUNTIFS('AYLIQ QRAFİK'!$E$8:$J$37,A11,'AYLIQ QRAFİK'!$C$8:$C$37,"Cümə axşamı",'AYLIQ QRAFİK'!$C$9:$C$38,"Şənbə")</f>
        <v/>
      </c>
      <c r="J11" s="6">
        <f>COUNTIFS('AYLIQ QRAFİK'!$E$8:$J$37,A11,'AYLIQ QRAFİK'!$C$8:$C$37,"Şənbə",'AYLIQ QRAFİK'!$C$9:$C$38,"Bazar")</f>
        <v/>
      </c>
      <c r="K11" s="6">
        <f>COUNTIFS('AYLIQ QRAFİK'!$E$8:$J$37,A11,'AYLIQ QRAFİK'!$C$8:$C$37,"Bazar",'AYLIQ QRAFİK'!$C$9:$C$38,"Bazar ertəsi")</f>
        <v/>
      </c>
      <c r="L11" s="6">
        <f>COUNTIF('AYLIQ QRAFİK'!$E$8:$E$37,A11)+COUNTIF('AYLIQ QRAFİK'!$F$8:$F$37,A11)</f>
        <v/>
      </c>
      <c r="M11" s="6">
        <f>COUNTIF('AYLIQ QRAFİK'!$G$8:$G$37,A11)+COUNTIF('AYLIQ QRAFİK'!$H$8:$H$37,A11)</f>
        <v/>
      </c>
      <c r="N11" s="6">
        <f>COUNTIF('AYLIQ QRAFİK'!$I$8:$I$37,A11)+COUNTIF('AYLIQ QRAFİK'!$J$8:$J$37,A11)</f>
        <v/>
      </c>
      <c r="O11" s="15">
        <f>IFERROR(MAXIFS('AYLIQ QRAFİK'!$B$8:$B$37,'AYLIQ QRAFİK'!$E$8:$E$37,A11,'AYLIQ QRAFİK'!$E$8:$J$37,A11),"")</f>
        <v/>
      </c>
    </row>
    <row r="12">
      <c r="A12" s="20" t="inlineStr">
        <is>
          <t>Məhərrəmov Fərid Asif oğlu</t>
        </is>
      </c>
      <c r="B12" s="6">
        <f>COUNTIF('AYLIQ QRAFİK'!$E$8:$E$37,A12)+COUNTIF('AYLIQ QRAFİK'!$F$8:$F$37,A12)+COUNTIF('AYLIQ QRAFİK'!$G$8:$G$37,A12)+COUNTIF('AYLIQ QRAFİK'!$H$8:$H$37,A12)+COUNTIF('AYLIQ QRAFİK'!$I$8:$I$37,A12)+COUNTIF('AYLIQ QRAFİK'!$J$8:$J$37,A12)</f>
        <v/>
      </c>
      <c r="C12" s="6">
        <f>COUNTIF('AYLIQ QRAFİK'!$E$8:$E$37,A12)*PARAMETRLƏR!$B$5+COUNTIF('AYLIQ QRAFİK'!$F$8:$F$37,A12)*PARAMETRLƏR!$B$6+COUNTIF('AYLIQ QRAFİK'!$G$8:$G$37,A12)*PARAMETRLƏR!$B$7+COUNTIF('AYLIQ QRAFİK'!$H$8:$H$37,A12)*PARAMETRLƏR!$B$8+COUNTIF('AYLIQ QRAFİK'!$I$8:$I$37,A12)*PARAMETRLƏR!$B$9+COUNTIF('AYLIQ QRAFİK'!$J$8:$J$37,A12)*PARAMETRLƏR!$B$10</f>
        <v/>
      </c>
      <c r="D12" s="16" t="n">
        <v>30</v>
      </c>
      <c r="E12" s="8">
        <f>IF(D12&gt;0,C12/D12,0)</f>
        <v/>
      </c>
      <c r="F12" s="6">
        <f>COUNTIFS('AYLIQ QRAFİK'!$E$8:$J$37,A12,'AYLIQ QRAFİK'!$C$8:$C$37,"Cümə")+COUNTIFS('AYLIQ QRAFİK'!$E$8:$J$37,A12,'AYLIQ QRAFİK'!$C$8:$C$37,"Cümə axşamı")</f>
        <v/>
      </c>
      <c r="G12" s="6">
        <f>COUNTIFS('AYLIQ QRAFİK'!$E$8:$J$37,A12,'AYLIQ QRAFİK'!$C$8:$C$37,"Şənbə")</f>
        <v/>
      </c>
      <c r="H12" s="6">
        <f>COUNTIFS('AYLIQ QRAFİK'!$E$8:$J$37,A12,'AYLIQ QRAFİK'!$C$8:$C$37,"Bazar")</f>
        <v/>
      </c>
      <c r="I12" s="6">
        <f>COUNTIFS('AYLIQ QRAFİK'!$E$8:$J$37,A12,'AYLIQ QRAFİK'!$C$8:$C$37,"Cümə",'AYLIQ QRAFİK'!$C$9:$C$38,"Şənbə")+COUNTIFS('AYLIQ QRAFİK'!$E$8:$J$37,A12,'AYLIQ QRAFİK'!$C$8:$C$37,"Cümə axşamı",'AYLIQ QRAFİK'!$C$9:$C$38,"Şənbə")</f>
        <v/>
      </c>
      <c r="J12" s="6">
        <f>COUNTIFS('AYLIQ QRAFİK'!$E$8:$J$37,A12,'AYLIQ QRAFİK'!$C$8:$C$37,"Şənbə",'AYLIQ QRAFİK'!$C$9:$C$38,"Bazar")</f>
        <v/>
      </c>
      <c r="K12" s="6">
        <f>COUNTIFS('AYLIQ QRAFİK'!$E$8:$J$37,A12,'AYLIQ QRAFİK'!$C$8:$C$37,"Bazar",'AYLIQ QRAFİK'!$C$9:$C$38,"Bazar ertəsi")</f>
        <v/>
      </c>
      <c r="L12" s="6">
        <f>COUNTIF('AYLIQ QRAFİK'!$E$8:$E$37,A12)+COUNTIF('AYLIQ QRAFİK'!$F$8:$F$37,A12)</f>
        <v/>
      </c>
      <c r="M12" s="6">
        <f>COUNTIF('AYLIQ QRAFİK'!$G$8:$G$37,A12)+COUNTIF('AYLIQ QRAFİK'!$H$8:$H$37,A12)</f>
        <v/>
      </c>
      <c r="N12" s="6">
        <f>COUNTIF('AYLIQ QRAFİK'!$I$8:$I$37,A12)+COUNTIF('AYLIQ QRAFİK'!$J$8:$J$37,A12)</f>
        <v/>
      </c>
      <c r="O12" s="15">
        <f>IFERROR(MAXIFS('AYLIQ QRAFİK'!$B$8:$B$37,'AYLIQ QRAFİK'!$E$8:$E$37,A12,'AYLIQ QRAFİK'!$E$8:$J$37,A12),"")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53"/>
  <autoFilter ref="A4:O12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</cols>
  <sheetData>
    <row r="1">
      <c r="A1" s="25" t="inlineStr">
        <is>
          <t>SİSTEM PARAMETRLƏRİ</t>
        </is>
      </c>
      <c r="B1" s="26" t="n"/>
      <c r="C1" s="26" t="n"/>
    </row>
    <row r="2">
      <c r="A2" s="27" t="inlineStr">
        <is>
          <t>Bu vərəqdə bütün sistem parametrləri yerləşir. Formulaları dəyişmədən yalnız bu dəyərləri dəyişməklə sistemi idarə edə bilərsiniz.</t>
        </is>
      </c>
      <c r="B2" s="26" t="n"/>
      <c r="C2" s="26" t="n"/>
    </row>
    <row r="3">
      <c r="A3" s="26" t="n"/>
      <c r="B3" s="26" t="n"/>
      <c r="C3" s="26" t="n"/>
    </row>
    <row r="4">
      <c r="A4" s="28" t="inlineStr">
        <is>
          <t>NÖVBƏ ƏMSALLARI</t>
        </is>
      </c>
      <c r="B4" s="26" t="n"/>
      <c r="C4" s="26" t="n"/>
    </row>
    <row r="5">
      <c r="A5" s="5" t="inlineStr">
        <is>
          <t>Hissə növbətçisi</t>
        </is>
      </c>
      <c r="B5" s="29" t="n">
        <v>5</v>
      </c>
      <c r="C5" s="30" t="inlineStr">
        <is>
          <t>Bu növbənin ağırlıq əmsalı</t>
        </is>
      </c>
    </row>
    <row r="6">
      <c r="A6" s="5" t="inlineStr">
        <is>
          <t>Hissə növbətçisinin köməkçisi</t>
        </is>
      </c>
      <c r="B6" s="29" t="n">
        <v>4</v>
      </c>
      <c r="C6" s="30" t="inlineStr">
        <is>
          <t>Bu növbənin ağırlıq əmsalı</t>
        </is>
      </c>
    </row>
    <row r="7">
      <c r="A7" s="5" t="inlineStr">
        <is>
          <t>Nəzarət-buraxılış məntəqəsi növbətçisi</t>
        </is>
      </c>
      <c r="B7" s="29" t="n">
        <v>3</v>
      </c>
      <c r="C7" s="30" t="inlineStr">
        <is>
          <t>Bu növbənin ağırlıq əmsalı</t>
        </is>
      </c>
    </row>
    <row r="8">
      <c r="A8" s="5" t="inlineStr">
        <is>
          <t>Park növbətçisi</t>
        </is>
      </c>
      <c r="B8" s="29" t="n">
        <v>3</v>
      </c>
      <c r="C8" s="30" t="inlineStr">
        <is>
          <t>Bu növbənin ağırlıq əmsalı</t>
        </is>
      </c>
    </row>
    <row r="9">
      <c r="A9" s="5" t="inlineStr">
        <is>
          <t>Yeməkxana növbətçisi</t>
        </is>
      </c>
      <c r="B9" s="29" t="n">
        <v>2</v>
      </c>
      <c r="C9" s="30" t="inlineStr">
        <is>
          <t>Bu növbənin ağırlıq əmsalı</t>
        </is>
      </c>
    </row>
    <row r="10">
      <c r="A10" s="5" t="inlineStr">
        <is>
          <t>Otaq növbətçisi</t>
        </is>
      </c>
      <c r="B10" s="29" t="n">
        <v>1</v>
      </c>
      <c r="C10" s="30" t="inlineStr">
        <is>
          <t>Bu növbənin ağırlıq əmsalı</t>
        </is>
      </c>
    </row>
    <row r="11">
      <c r="A11" s="26" t="n"/>
      <c r="B11" s="26" t="n"/>
      <c r="C11" s="26" t="n"/>
    </row>
    <row r="12">
      <c r="A12" s="28" t="inlineStr">
        <is>
          <t>İSTİRAHƏT VƏ QAYDALAR</t>
        </is>
      </c>
      <c r="B12" s="26" t="n"/>
      <c r="C12" s="26" t="n"/>
    </row>
    <row r="13">
      <c r="A13" s="5" t="inlineStr">
        <is>
          <t>Minimum istirahət intervalı (gün)</t>
        </is>
      </c>
      <c r="B13" s="29" t="n">
        <v>1</v>
      </c>
      <c r="C13" s="30" t="inlineStr">
        <is>
          <t>Eyni şəxsin növbələr arasında minimum keçməli olan gün sayı</t>
        </is>
      </c>
    </row>
    <row r="14">
      <c r="A14" s="5" t="inlineStr">
        <is>
          <t>Ardıcıl növbə limiti</t>
        </is>
      </c>
      <c r="B14" s="29" t="n">
        <v>2</v>
      </c>
      <c r="C14" s="30" t="inlineStr">
        <is>
          <t>Eyni növbənin ardıcıl olaraq neçə dəfə verilməsinə icazə verilir</t>
        </is>
      </c>
    </row>
    <row r="15">
      <c r="A15" s="5" t="inlineStr">
        <is>
          <t>Eyni növbə təkrar limiti (ay)</t>
        </is>
      </c>
      <c r="B15" s="29" t="n">
        <v>3</v>
      </c>
      <c r="C15" s="30" t="inlineStr">
        <is>
          <t>Eyni şəxs eyni növbəni bir ay ərzində neçə dəfə ala bilər</t>
        </is>
      </c>
    </row>
    <row r="16">
      <c r="A16" s="26" t="n"/>
      <c r="B16" s="26" t="n"/>
      <c r="C16" s="26" t="n"/>
    </row>
    <row r="17">
      <c r="A17" s="28" t="inlineStr">
        <is>
          <t>BALANS VƏ ƏDALƏT</t>
        </is>
      </c>
      <c r="B17" s="26" t="n"/>
      <c r="C17" s="26" t="n"/>
    </row>
    <row r="18">
      <c r="A18" s="5" t="inlineStr">
        <is>
          <t>Balans toleransı (%)</t>
        </is>
      </c>
      <c r="B18" s="29" t="n">
        <v>10</v>
      </c>
      <c r="C18" s="30" t="inlineStr">
        <is>
          <t>Yük fərqinin nə qədərini tolerans etmək</t>
        </is>
      </c>
    </row>
    <row r="19">
      <c r="A19" s="5" t="inlineStr">
        <is>
          <t>Əvvəlki ayların təsir əmsalı</t>
        </is>
      </c>
      <c r="B19" s="31" t="n">
        <v>0.3</v>
      </c>
      <c r="C19" s="30" t="inlineStr">
        <is>
          <t>Son 3 ayın yükünün cari aya təsir əmsalı (0-1)</t>
        </is>
      </c>
    </row>
    <row r="20">
      <c r="A20" s="5" t="inlineStr">
        <is>
          <t>Həftəsonu əmsalı</t>
        </is>
      </c>
      <c r="B20" s="31" t="n">
        <v>1.5</v>
      </c>
      <c r="C20" s="30" t="inlineStr">
        <is>
          <t>Həftəsonu növbələrinin əmsalı</t>
        </is>
      </c>
    </row>
    <row r="21">
      <c r="A21" s="26" t="n"/>
      <c r="B21" s="26" t="n"/>
      <c r="C21" s="2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53"/>
  <mergeCells count="5">
    <mergeCell ref="A1:C1"/>
    <mergeCell ref="A17:C17"/>
    <mergeCell ref="A12:C12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20" customWidth="1" min="4" max="4"/>
    <col width="25" customWidth="1" min="5" max="5"/>
    <col width="25" customWidth="1" min="6" max="6"/>
    <col width="30" customWidth="1" min="7" max="7"/>
    <col width="25" customWidth="1" min="8" max="8"/>
  </cols>
  <sheetData>
    <row r="1">
      <c r="A1" s="9" t="inlineStr">
        <is>
          <t>DƏYİŞİKLİK JURNALI</t>
        </is>
      </c>
    </row>
    <row r="2">
      <c r="A2" s="10" t="inlineStr">
        <is>
          <t>Bu vərəqdə bütün əl ilə edilmiş dəyişikliklərin tarixçəsi saxlanılır.</t>
        </is>
      </c>
    </row>
    <row r="4">
      <c r="A4" s="14" t="inlineStr">
        <is>
          <t>Tarix</t>
        </is>
      </c>
      <c r="B4" s="14" t="inlineStr">
        <is>
          <t>Saat</t>
        </is>
      </c>
      <c r="C4" s="14" t="inlineStr">
        <is>
          <t>Növbə tarixi</t>
        </is>
      </c>
      <c r="D4" s="14" t="inlineStr">
        <is>
          <t>Növbə növü</t>
        </is>
      </c>
      <c r="E4" s="14" t="inlineStr">
        <is>
          <t>Əvvəlki şəxs</t>
        </is>
      </c>
      <c r="F4" s="14" t="inlineStr">
        <is>
          <t>Yeni şəxs</t>
        </is>
      </c>
      <c r="G4" s="14" t="inlineStr">
        <is>
          <t>Dəyişiklik səbəbi</t>
        </is>
      </c>
      <c r="H4" s="14" t="inlineStr">
        <is>
          <t>Qeyd</t>
        </is>
      </c>
    </row>
    <row r="5">
      <c r="A5" s="32">
        <f>TODAY()</f>
        <v/>
      </c>
      <c r="B5" s="33">
        <f>NOW()</f>
        <v/>
      </c>
      <c r="C5" s="34" t="n"/>
      <c r="D5" s="35" t="n"/>
      <c r="E5" s="34" t="n"/>
      <c r="F5" s="34" t="n"/>
      <c r="G5" s="35" t="n"/>
      <c r="H5" s="35" t="n"/>
    </row>
    <row r="6">
      <c r="A6" s="34" t="n"/>
      <c r="B6" s="34" t="n"/>
      <c r="C6" s="34" t="n"/>
      <c r="D6" s="35" t="n"/>
      <c r="E6" s="34" t="n"/>
      <c r="F6" s="34" t="n"/>
      <c r="G6" s="35" t="n"/>
      <c r="H6" s="35" t="n"/>
    </row>
    <row r="7">
      <c r="A7" s="34" t="n"/>
      <c r="B7" s="34" t="n"/>
      <c r="C7" s="34" t="n"/>
      <c r="D7" s="35" t="n"/>
      <c r="E7" s="34" t="n"/>
      <c r="F7" s="34" t="n"/>
      <c r="G7" s="35" t="n"/>
      <c r="H7" s="35" t="n"/>
    </row>
    <row r="8">
      <c r="A8" s="34" t="n"/>
      <c r="B8" s="34" t="n"/>
      <c r="C8" s="34" t="n"/>
      <c r="D8" s="35" t="n"/>
      <c r="E8" s="34" t="n"/>
      <c r="F8" s="34" t="n"/>
      <c r="G8" s="35" t="n"/>
      <c r="H8" s="35" t="n"/>
    </row>
    <row r="9">
      <c r="A9" s="34" t="n"/>
      <c r="B9" s="34" t="n"/>
      <c r="C9" s="34" t="n"/>
      <c r="D9" s="35" t="n"/>
      <c r="E9" s="34" t="n"/>
      <c r="F9" s="34" t="n"/>
      <c r="G9" s="35" t="n"/>
      <c r="H9" s="35" t="n"/>
    </row>
    <row r="10">
      <c r="A10" s="34" t="n"/>
      <c r="B10" s="34" t="n"/>
      <c r="C10" s="34" t="n"/>
      <c r="D10" s="35" t="n"/>
      <c r="E10" s="34" t="n"/>
      <c r="F10" s="34" t="n"/>
      <c r="G10" s="35" t="n"/>
      <c r="H10" s="35" t="n"/>
    </row>
    <row r="11">
      <c r="A11" s="34" t="n"/>
      <c r="B11" s="34" t="n"/>
      <c r="C11" s="34" t="n"/>
      <c r="D11" s="35" t="n"/>
      <c r="E11" s="34" t="n"/>
      <c r="F11" s="34" t="n"/>
      <c r="G11" s="35" t="n"/>
      <c r="H11" s="35" t="n"/>
    </row>
    <row r="12">
      <c r="A12" s="34" t="n"/>
      <c r="B12" s="34" t="n"/>
      <c r="C12" s="34" t="n"/>
      <c r="D12" s="35" t="n"/>
      <c r="E12" s="34" t="n"/>
      <c r="F12" s="34" t="n"/>
      <c r="G12" s="35" t="n"/>
      <c r="H12" s="35" t="n"/>
    </row>
    <row r="13">
      <c r="A13" s="34" t="n"/>
      <c r="B13" s="34" t="n"/>
      <c r="C13" s="34" t="n"/>
      <c r="D13" s="35" t="n"/>
      <c r="E13" s="34" t="n"/>
      <c r="F13" s="34" t="n"/>
      <c r="G13" s="35" t="n"/>
      <c r="H13" s="35" t="n"/>
    </row>
    <row r="14">
      <c r="A14" s="34" t="n"/>
      <c r="B14" s="34" t="n"/>
      <c r="C14" s="34" t="n"/>
      <c r="D14" s="35" t="n"/>
      <c r="E14" s="34" t="n"/>
      <c r="F14" s="34" t="n"/>
      <c r="G14" s="35" t="n"/>
      <c r="H14" s="35" t="n"/>
    </row>
    <row r="15">
      <c r="A15" s="34" t="n"/>
      <c r="B15" s="34" t="n"/>
      <c r="C15" s="34" t="n"/>
      <c r="D15" s="35" t="n"/>
      <c r="E15" s="34" t="n"/>
      <c r="F15" s="34" t="n"/>
      <c r="G15" s="35" t="n"/>
      <c r="H15" s="35" t="n"/>
    </row>
    <row r="16">
      <c r="A16" s="34" t="n"/>
      <c r="B16" s="34" t="n"/>
      <c r="C16" s="34" t="n"/>
      <c r="D16" s="35" t="n"/>
      <c r="E16" s="34" t="n"/>
      <c r="F16" s="34" t="n"/>
      <c r="G16" s="35" t="n"/>
      <c r="H16" s="35" t="n"/>
    </row>
    <row r="17">
      <c r="A17" s="34" t="n"/>
      <c r="B17" s="34" t="n"/>
      <c r="C17" s="34" t="n"/>
      <c r="D17" s="35" t="n"/>
      <c r="E17" s="34" t="n"/>
      <c r="F17" s="34" t="n"/>
      <c r="G17" s="35" t="n"/>
      <c r="H17" s="35" t="n"/>
    </row>
    <row r="18">
      <c r="A18" s="34" t="n"/>
      <c r="B18" s="34" t="n"/>
      <c r="C18" s="34" t="n"/>
      <c r="D18" s="35" t="n"/>
      <c r="E18" s="34" t="n"/>
      <c r="F18" s="34" t="n"/>
      <c r="G18" s="35" t="n"/>
      <c r="H18" s="35" t="n"/>
    </row>
    <row r="19">
      <c r="A19" s="34" t="n"/>
      <c r="B19" s="34" t="n"/>
      <c r="C19" s="34" t="n"/>
      <c r="D19" s="35" t="n"/>
      <c r="E19" s="34" t="n"/>
      <c r="F19" s="34" t="n"/>
      <c r="G19" s="35" t="n"/>
      <c r="H19" s="35" t="n"/>
    </row>
    <row r="20">
      <c r="A20" s="34" t="n"/>
      <c r="B20" s="34" t="n"/>
      <c r="C20" s="34" t="n"/>
      <c r="D20" s="35" t="n"/>
      <c r="E20" s="34" t="n"/>
      <c r="F20" s="34" t="n"/>
      <c r="G20" s="35" t="n"/>
      <c r="H20" s="35" t="n"/>
    </row>
    <row r="21">
      <c r="A21" s="34" t="n"/>
      <c r="B21" s="34" t="n"/>
      <c r="C21" s="34" t="n"/>
      <c r="D21" s="35" t="n"/>
      <c r="E21" s="34" t="n"/>
      <c r="F21" s="34" t="n"/>
      <c r="G21" s="35" t="n"/>
      <c r="H21" s="35" t="n"/>
    </row>
    <row r="22">
      <c r="A22" s="34" t="n"/>
      <c r="B22" s="34" t="n"/>
      <c r="C22" s="34" t="n"/>
      <c r="D22" s="35" t="n"/>
      <c r="E22" s="34" t="n"/>
      <c r="F22" s="34" t="n"/>
      <c r="G22" s="35" t="n"/>
      <c r="H22" s="35" t="n"/>
    </row>
    <row r="23">
      <c r="A23" s="34" t="n"/>
      <c r="B23" s="34" t="n"/>
      <c r="C23" s="34" t="n"/>
      <c r="D23" s="35" t="n"/>
      <c r="E23" s="34" t="n"/>
      <c r="F23" s="34" t="n"/>
      <c r="G23" s="35" t="n"/>
      <c r="H23" s="35" t="n"/>
    </row>
    <row r="24">
      <c r="A24" s="34" t="n"/>
      <c r="B24" s="34" t="n"/>
      <c r="C24" s="34" t="n"/>
      <c r="D24" s="35" t="n"/>
      <c r="E24" s="34" t="n"/>
      <c r="F24" s="34" t="n"/>
      <c r="G24" s="35" t="n"/>
      <c r="H24" s="35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</row>
    <row r="31">
      <c r="A31" s="22" t="n"/>
      <c r="B31" s="22" t="n"/>
      <c r="C31" s="22" t="n"/>
      <c r="D31" s="22" t="n"/>
      <c r="E31" s="22" t="n"/>
      <c r="F31" s="22" t="n"/>
      <c r="G31" s="22" t="n"/>
      <c r="H31" s="22" t="n"/>
    </row>
    <row r="32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</row>
    <row r="39">
      <c r="A39" s="22" t="n"/>
      <c r="B39" s="22" t="n"/>
      <c r="C39" s="22" t="n"/>
      <c r="D39" s="22" t="n"/>
      <c r="E39" s="22" t="n"/>
      <c r="F39" s="22" t="n"/>
      <c r="G39" s="22" t="n"/>
      <c r="H39" s="22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>
      <c r="A41" s="22" t="n"/>
      <c r="B41" s="22" t="n"/>
      <c r="C41" s="22" t="n"/>
      <c r="D41" s="22" t="n"/>
      <c r="E41" s="22" t="n"/>
      <c r="F41" s="22" t="n"/>
      <c r="G41" s="22" t="n"/>
      <c r="H41" s="22" t="n"/>
    </row>
    <row r="42">
      <c r="A42" s="22" t="n"/>
      <c r="B42" s="22" t="n"/>
      <c r="C42" s="22" t="n"/>
      <c r="D42" s="22" t="n"/>
      <c r="E42" s="22" t="n"/>
      <c r="F42" s="22" t="n"/>
      <c r="G42" s="22" t="n"/>
      <c r="H42" s="22" t="n"/>
    </row>
    <row r="43">
      <c r="A43" s="22" t="n"/>
      <c r="B43" s="22" t="n"/>
      <c r="C43" s="22" t="n"/>
      <c r="D43" s="22" t="n"/>
      <c r="E43" s="22" t="n"/>
      <c r="F43" s="22" t="n"/>
      <c r="G43" s="22" t="n"/>
      <c r="H43" s="22" t="n"/>
    </row>
    <row r="44">
      <c r="A44" s="22" t="n"/>
      <c r="B44" s="22" t="n"/>
      <c r="C44" s="22" t="n"/>
      <c r="D44" s="22" t="n"/>
      <c r="E44" s="22" t="n"/>
      <c r="F44" s="22" t="n"/>
      <c r="G44" s="22" t="n"/>
      <c r="H44" s="22" t="n"/>
    </row>
    <row r="45">
      <c r="A45" s="22" t="n"/>
      <c r="B45" s="22" t="n"/>
      <c r="C45" s="22" t="n"/>
      <c r="D45" s="22" t="n"/>
      <c r="E45" s="22" t="n"/>
      <c r="F45" s="22" t="n"/>
      <c r="G45" s="22" t="n"/>
      <c r="H45" s="22" t="n"/>
    </row>
    <row r="46">
      <c r="A46" s="22" t="n"/>
      <c r="B46" s="22" t="n"/>
      <c r="C46" s="22" t="n"/>
      <c r="D46" s="22" t="n"/>
      <c r="E46" s="22" t="n"/>
      <c r="F46" s="22" t="n"/>
      <c r="G46" s="22" t="n"/>
      <c r="H46" s="22" t="n"/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</row>
    <row r="48">
      <c r="A48" s="22" t="n"/>
      <c r="B48" s="22" t="n"/>
      <c r="C48" s="22" t="n"/>
      <c r="D48" s="22" t="n"/>
      <c r="E48" s="22" t="n"/>
      <c r="F48" s="22" t="n"/>
      <c r="G48" s="22" t="n"/>
      <c r="H48" s="22" t="n"/>
    </row>
    <row r="49">
      <c r="A49" s="22" t="n"/>
      <c r="B49" s="22" t="n"/>
      <c r="C49" s="22" t="n"/>
      <c r="D49" s="22" t="n"/>
      <c r="E49" s="22" t="n"/>
      <c r="F49" s="22" t="n"/>
      <c r="G49" s="22" t="n"/>
      <c r="H49" s="22" t="n"/>
    </row>
    <row r="50">
      <c r="A50" s="22" t="n"/>
      <c r="B50" s="22" t="n"/>
      <c r="C50" s="22" t="n"/>
      <c r="D50" s="22" t="n"/>
      <c r="E50" s="22" t="n"/>
      <c r="F50" s="22" t="n"/>
      <c r="G50" s="22" t="n"/>
      <c r="H50" s="22" t="n"/>
    </row>
    <row r="51">
      <c r="A51" s="22" t="n"/>
      <c r="B51" s="22" t="n"/>
      <c r="C51" s="22" t="n"/>
      <c r="D51" s="22" t="n"/>
      <c r="E51" s="22" t="n"/>
      <c r="F51" s="22" t="n"/>
      <c r="G51" s="22" t="n"/>
      <c r="H51" s="22" t="n"/>
    </row>
    <row r="52">
      <c r="A52" s="22" t="n"/>
      <c r="B52" s="22" t="n"/>
      <c r="C52" s="22" t="n"/>
      <c r="D52" s="22" t="n"/>
      <c r="E52" s="22" t="n"/>
      <c r="F52" s="22" t="n"/>
      <c r="G52" s="22" t="n"/>
      <c r="H52" s="22" t="n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</row>
    <row r="54">
      <c r="A54" s="22" t="n"/>
      <c r="B54" s="22" t="n"/>
      <c r="C54" s="22" t="n"/>
      <c r="D54" s="22" t="n"/>
      <c r="E54" s="22" t="n"/>
      <c r="F54" s="22" t="n"/>
      <c r="G54" s="22" t="n"/>
      <c r="H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</row>
    <row r="56">
      <c r="A56" s="22" t="n"/>
      <c r="B56" s="22" t="n"/>
      <c r="C56" s="22" t="n"/>
      <c r="D56" s="22" t="n"/>
      <c r="E56" s="22" t="n"/>
      <c r="F56" s="22" t="n"/>
      <c r="G56" s="22" t="n"/>
      <c r="H56" s="22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>
      <c r="A58" s="22" t="n"/>
      <c r="B58" s="22" t="n"/>
      <c r="C58" s="22" t="n"/>
      <c r="D58" s="22" t="n"/>
      <c r="E58" s="22" t="n"/>
      <c r="F58" s="22" t="n"/>
      <c r="G58" s="22" t="n"/>
      <c r="H58" s="22" t="n"/>
    </row>
    <row r="59">
      <c r="A59" s="22" t="n"/>
      <c r="B59" s="22" t="n"/>
      <c r="C59" s="22" t="n"/>
      <c r="D59" s="22" t="n"/>
      <c r="E59" s="22" t="n"/>
      <c r="F59" s="22" t="n"/>
      <c r="G59" s="22" t="n"/>
      <c r="H59" s="22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>
      <c r="A61" s="22" t="n"/>
      <c r="B61" s="22" t="n"/>
      <c r="C61" s="22" t="n"/>
      <c r="D61" s="22" t="n"/>
      <c r="E61" s="22" t="n"/>
      <c r="F61" s="22" t="n"/>
      <c r="G61" s="22" t="n"/>
      <c r="H61" s="22" t="n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</row>
    <row r="64">
      <c r="A64" s="22" t="n"/>
      <c r="B64" s="22" t="n"/>
      <c r="C64" s="22" t="n"/>
      <c r="D64" s="22" t="n"/>
      <c r="E64" s="22" t="n"/>
      <c r="F64" s="22" t="n"/>
      <c r="G64" s="22" t="n"/>
      <c r="H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</row>
    <row r="66">
      <c r="A66" s="22" t="n"/>
      <c r="B66" s="22" t="n"/>
      <c r="C66" s="22" t="n"/>
      <c r="D66" s="22" t="n"/>
      <c r="E66" s="22" t="n"/>
      <c r="F66" s="22" t="n"/>
      <c r="G66" s="22" t="n"/>
      <c r="H66" s="22" t="n"/>
    </row>
    <row r="67">
      <c r="A67" s="22" t="n"/>
      <c r="B67" s="22" t="n"/>
      <c r="C67" s="22" t="n"/>
      <c r="D67" s="22" t="n"/>
      <c r="E67" s="22" t="n"/>
      <c r="F67" s="22" t="n"/>
      <c r="G67" s="22" t="n"/>
      <c r="H67" s="22" t="n"/>
    </row>
    <row r="68">
      <c r="A68" s="22" t="n"/>
      <c r="B68" s="22" t="n"/>
      <c r="C68" s="22" t="n"/>
      <c r="D68" s="22" t="n"/>
      <c r="E68" s="22" t="n"/>
      <c r="F68" s="22" t="n"/>
      <c r="G68" s="22" t="n"/>
      <c r="H68" s="22" t="n"/>
    </row>
    <row r="69">
      <c r="A69" s="22" t="n"/>
      <c r="B69" s="22" t="n"/>
      <c r="C69" s="22" t="n"/>
      <c r="D69" s="22" t="n"/>
      <c r="E69" s="22" t="n"/>
      <c r="F69" s="22" t="n"/>
      <c r="G69" s="22" t="n"/>
      <c r="H69" s="22" t="n"/>
    </row>
    <row r="70">
      <c r="A70" s="22" t="n"/>
      <c r="B70" s="22" t="n"/>
      <c r="C70" s="22" t="n"/>
      <c r="D70" s="22" t="n"/>
      <c r="E70" s="22" t="n"/>
      <c r="F70" s="22" t="n"/>
      <c r="G70" s="22" t="n"/>
      <c r="H70" s="22" t="n"/>
    </row>
    <row r="71">
      <c r="A71" s="22" t="n"/>
      <c r="B71" s="22" t="n"/>
      <c r="C71" s="22" t="n"/>
      <c r="D71" s="22" t="n"/>
      <c r="E71" s="22" t="n"/>
      <c r="F71" s="22" t="n"/>
      <c r="G71" s="22" t="n"/>
      <c r="H71" s="22" t="n"/>
    </row>
    <row r="72">
      <c r="A72" s="22" t="n"/>
      <c r="B72" s="22" t="n"/>
      <c r="C72" s="22" t="n"/>
      <c r="D72" s="22" t="n"/>
      <c r="E72" s="22" t="n"/>
      <c r="F72" s="22" t="n"/>
      <c r="G72" s="22" t="n"/>
      <c r="H72" s="22" t="n"/>
    </row>
    <row r="73">
      <c r="A73" s="22" t="n"/>
      <c r="B73" s="22" t="n"/>
      <c r="C73" s="22" t="n"/>
      <c r="D73" s="22" t="n"/>
      <c r="E73" s="22" t="n"/>
      <c r="F73" s="22" t="n"/>
      <c r="G73" s="22" t="n"/>
      <c r="H73" s="22" t="n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</row>
    <row r="75">
      <c r="A75" s="22" t="n"/>
      <c r="B75" s="22" t="n"/>
      <c r="C75" s="22" t="n"/>
      <c r="D75" s="22" t="n"/>
      <c r="E75" s="22" t="n"/>
      <c r="F75" s="22" t="n"/>
      <c r="G75" s="22" t="n"/>
      <c r="H75" s="22" t="n"/>
    </row>
    <row r="76">
      <c r="A76" s="22" t="n"/>
      <c r="B76" s="22" t="n"/>
      <c r="C76" s="22" t="n"/>
      <c r="D76" s="22" t="n"/>
      <c r="E76" s="22" t="n"/>
      <c r="F76" s="22" t="n"/>
      <c r="G76" s="22" t="n"/>
      <c r="H76" s="22" t="n"/>
    </row>
    <row r="77">
      <c r="A77" s="22" t="n"/>
      <c r="B77" s="22" t="n"/>
      <c r="C77" s="22" t="n"/>
      <c r="D77" s="22" t="n"/>
      <c r="E77" s="22" t="n"/>
      <c r="F77" s="22" t="n"/>
      <c r="G77" s="22" t="n"/>
      <c r="H77" s="22" t="n"/>
    </row>
    <row r="78">
      <c r="A78" s="22" t="n"/>
      <c r="B78" s="22" t="n"/>
      <c r="C78" s="22" t="n"/>
      <c r="D78" s="22" t="n"/>
      <c r="E78" s="22" t="n"/>
      <c r="F78" s="22" t="n"/>
      <c r="G78" s="22" t="n"/>
      <c r="H78" s="22" t="n"/>
    </row>
    <row r="79">
      <c r="A79" s="22" t="n"/>
      <c r="B79" s="22" t="n"/>
      <c r="C79" s="22" t="n"/>
      <c r="D79" s="22" t="n"/>
      <c r="E79" s="22" t="n"/>
      <c r="F79" s="22" t="n"/>
      <c r="G79" s="22" t="n"/>
      <c r="H79" s="22" t="n"/>
    </row>
    <row r="80">
      <c r="A80" s="22" t="n"/>
      <c r="B80" s="22" t="n"/>
      <c r="C80" s="22" t="n"/>
      <c r="D80" s="22" t="n"/>
      <c r="E80" s="22" t="n"/>
      <c r="F80" s="22" t="n"/>
      <c r="G80" s="22" t="n"/>
      <c r="H80" s="22" t="n"/>
    </row>
    <row r="81">
      <c r="A81" s="22" t="n"/>
      <c r="B81" s="22" t="n"/>
      <c r="C81" s="22" t="n"/>
      <c r="D81" s="22" t="n"/>
      <c r="E81" s="22" t="n"/>
      <c r="F81" s="22" t="n"/>
      <c r="G81" s="22" t="n"/>
      <c r="H81" s="22" t="n"/>
    </row>
    <row r="82">
      <c r="A82" s="22" t="n"/>
      <c r="B82" s="22" t="n"/>
      <c r="C82" s="22" t="n"/>
      <c r="D82" s="22" t="n"/>
      <c r="E82" s="22" t="n"/>
      <c r="F82" s="22" t="n"/>
      <c r="G82" s="22" t="n"/>
      <c r="H82" s="22" t="n"/>
    </row>
    <row r="83">
      <c r="A83" s="22" t="n"/>
      <c r="B83" s="22" t="n"/>
      <c r="C83" s="22" t="n"/>
      <c r="D83" s="22" t="n"/>
      <c r="E83" s="22" t="n"/>
      <c r="F83" s="22" t="n"/>
      <c r="G83" s="22" t="n"/>
      <c r="H83" s="22" t="n"/>
    </row>
    <row r="84">
      <c r="A84" s="22" t="n"/>
      <c r="B84" s="22" t="n"/>
      <c r="C84" s="22" t="n"/>
      <c r="D84" s="22" t="n"/>
      <c r="E84" s="22" t="n"/>
      <c r="F84" s="22" t="n"/>
      <c r="G84" s="22" t="n"/>
      <c r="H84" s="22" t="n"/>
    </row>
    <row r="85">
      <c r="A85" s="22" t="n"/>
      <c r="B85" s="22" t="n"/>
      <c r="C85" s="22" t="n"/>
      <c r="D85" s="22" t="n"/>
      <c r="E85" s="22" t="n"/>
      <c r="F85" s="22" t="n"/>
      <c r="G85" s="22" t="n"/>
      <c r="H85" s="22" t="n"/>
    </row>
    <row r="86">
      <c r="A86" s="22" t="n"/>
      <c r="B86" s="22" t="n"/>
      <c r="C86" s="22" t="n"/>
      <c r="D86" s="22" t="n"/>
      <c r="E86" s="22" t="n"/>
      <c r="F86" s="22" t="n"/>
      <c r="G86" s="22" t="n"/>
      <c r="H86" s="22" t="n"/>
    </row>
    <row r="87">
      <c r="A87" s="22" t="n"/>
      <c r="B87" s="22" t="n"/>
      <c r="C87" s="22" t="n"/>
      <c r="D87" s="22" t="n"/>
      <c r="E87" s="22" t="n"/>
      <c r="F87" s="22" t="n"/>
      <c r="G87" s="22" t="n"/>
      <c r="H87" s="22" t="n"/>
    </row>
    <row r="88">
      <c r="A88" s="22" t="n"/>
      <c r="B88" s="22" t="n"/>
      <c r="C88" s="22" t="n"/>
      <c r="D88" s="22" t="n"/>
      <c r="E88" s="22" t="n"/>
      <c r="F88" s="22" t="n"/>
      <c r="G88" s="22" t="n"/>
      <c r="H88" s="22" t="n"/>
    </row>
    <row r="89">
      <c r="A89" s="22" t="n"/>
      <c r="B89" s="22" t="n"/>
      <c r="C89" s="22" t="n"/>
      <c r="D89" s="22" t="n"/>
      <c r="E89" s="22" t="n"/>
      <c r="F89" s="22" t="n"/>
      <c r="G89" s="22" t="n"/>
      <c r="H89" s="22" t="n"/>
    </row>
    <row r="90">
      <c r="A90" s="22" t="n"/>
      <c r="B90" s="22" t="n"/>
      <c r="C90" s="22" t="n"/>
      <c r="D90" s="22" t="n"/>
      <c r="E90" s="22" t="n"/>
      <c r="F90" s="22" t="n"/>
      <c r="G90" s="22" t="n"/>
      <c r="H90" s="22" t="n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</row>
    <row r="92">
      <c r="A92" s="22" t="n"/>
      <c r="B92" s="22" t="n"/>
      <c r="C92" s="22" t="n"/>
      <c r="D92" s="22" t="n"/>
      <c r="E92" s="22" t="n"/>
      <c r="F92" s="22" t="n"/>
      <c r="G92" s="22" t="n"/>
      <c r="H92" s="22" t="n"/>
    </row>
    <row r="93">
      <c r="A93" s="22" t="n"/>
      <c r="B93" s="22" t="n"/>
      <c r="C93" s="22" t="n"/>
      <c r="D93" s="22" t="n"/>
      <c r="E93" s="22" t="n"/>
      <c r="F93" s="22" t="n"/>
      <c r="G93" s="22" t="n"/>
      <c r="H93" s="22" t="n"/>
    </row>
    <row r="94">
      <c r="A94" s="22" t="n"/>
      <c r="B94" s="22" t="n"/>
      <c r="C94" s="22" t="n"/>
      <c r="D94" s="22" t="n"/>
      <c r="E94" s="22" t="n"/>
      <c r="F94" s="22" t="n"/>
      <c r="G94" s="22" t="n"/>
      <c r="H94" s="22" t="n"/>
    </row>
    <row r="95">
      <c r="A95" s="22" t="n"/>
      <c r="B95" s="22" t="n"/>
      <c r="C95" s="22" t="n"/>
      <c r="D95" s="22" t="n"/>
      <c r="E95" s="22" t="n"/>
      <c r="F95" s="22" t="n"/>
      <c r="G95" s="22" t="n"/>
      <c r="H95" s="22" t="n"/>
    </row>
    <row r="96">
      <c r="A96" s="22" t="n"/>
      <c r="B96" s="22" t="n"/>
      <c r="C96" s="22" t="n"/>
      <c r="D96" s="22" t="n"/>
      <c r="E96" s="22" t="n"/>
      <c r="F96" s="22" t="n"/>
      <c r="G96" s="22" t="n"/>
      <c r="H96" s="22" t="n"/>
    </row>
    <row r="97">
      <c r="A97" s="22" t="n"/>
      <c r="B97" s="22" t="n"/>
      <c r="C97" s="22" t="n"/>
      <c r="D97" s="22" t="n"/>
      <c r="E97" s="22" t="n"/>
      <c r="F97" s="22" t="n"/>
      <c r="G97" s="22" t="n"/>
      <c r="H97" s="22" t="n"/>
    </row>
    <row r="98">
      <c r="A98" s="22" t="n"/>
      <c r="B98" s="22" t="n"/>
      <c r="C98" s="22" t="n"/>
      <c r="D98" s="22" t="n"/>
      <c r="E98" s="22" t="n"/>
      <c r="F98" s="22" t="n"/>
      <c r="G98" s="22" t="n"/>
      <c r="H98" s="22" t="n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053"/>
  <autoFilter ref="A4:H24"/>
  <mergeCells count="2">
    <mergeCell ref="A2:H2"/>
    <mergeCell ref="A1:H1"/>
  </mergeCells>
  <dataValidations count="3">
    <dataValidation sqref="D5:D24" showDropDown="0" showInputMessage="0" showErrorMessage="0" allowBlank="1" type="list">
      <formula1>"Hissə növbətçisi,Hissə növbətçisinin köməkçisi,Nəzarət-buraxılış məntəqəsi növbətçisi,Park növbətçisi,Yeməkxana növbətçisi,Otaq növbətçisi"</formula1>
    </dataValidation>
    <dataValidation sqref="G5:G24" showDropDown="0" showInputMessage="0" showErrorMessage="0" allowBlank="1" type="list">
      <formula1>"Səhv düzəlişi,Şəxs dəyişdirilməsi,Məzuniyyət,Digər"</formula1>
    </dataValidation>
    <dataValidation sqref="E5:E24 F5:F24" showDropDown="0" showInputMessage="0" showErrorMessage="0" allowBlank="1" type="list">
      <formula1>'ŞƏXSLƏR'!$E$5:$E$100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2026-09-23T16:32:21Z</dcterms:created>
  <dcterms:modified xsi:type="dcterms:W3CDTF">2026-09-23T16:32:21Z</dcterms:modified>
</cp:coreProperties>
</file>